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yan\Documents\"/>
    </mc:Choice>
  </mc:AlternateContent>
  <xr:revisionPtr revIDLastSave="0" documentId="13_ncr:1_{8D68F049-2A21-48A1-A146-DE908572CB4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nthFile" sheetId="1" r:id="rId1"/>
    <sheet name="Forecast" sheetId="2" r:id="rId2"/>
    <sheet name="Sheet1" sheetId="4" r:id="rId3"/>
    <sheet name="Char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2" l="1"/>
  <c r="T43" i="2"/>
  <c r="U43" i="2"/>
  <c r="V43" i="2"/>
  <c r="W43" i="2"/>
  <c r="X43" i="2"/>
  <c r="Y43" i="2"/>
  <c r="Z43" i="2"/>
  <c r="AA43" i="2"/>
  <c r="AB43" i="2"/>
  <c r="AC43" i="2"/>
  <c r="AD43" i="2"/>
  <c r="S43" i="2"/>
  <c r="S33" i="2"/>
  <c r="AC40" i="2"/>
  <c r="T42" i="2"/>
  <c r="U42" i="2"/>
  <c r="V42" i="2"/>
  <c r="W42" i="2"/>
  <c r="X42" i="2"/>
  <c r="Y42" i="2"/>
  <c r="Z42" i="2"/>
  <c r="AA42" i="2"/>
  <c r="AB42" i="2"/>
  <c r="AC42" i="2"/>
  <c r="AD42" i="2"/>
  <c r="S42" i="2"/>
  <c r="T36" i="2"/>
  <c r="U36" i="2"/>
  <c r="V36" i="2"/>
  <c r="W36" i="2"/>
  <c r="X36" i="2"/>
  <c r="Y36" i="2"/>
  <c r="Z36" i="2"/>
  <c r="AA36" i="2"/>
  <c r="AB36" i="2"/>
  <c r="AC36" i="2"/>
  <c r="AD36" i="2"/>
  <c r="S36" i="2"/>
  <c r="T40" i="2"/>
  <c r="U40" i="2"/>
  <c r="V40" i="2"/>
  <c r="W40" i="2"/>
  <c r="X40" i="2"/>
  <c r="Y40" i="2"/>
  <c r="Z40" i="2"/>
  <c r="AA40" i="2"/>
  <c r="AB40" i="2"/>
  <c r="AD40" i="2"/>
  <c r="S40" i="2"/>
  <c r="T38" i="2"/>
  <c r="U38" i="2"/>
  <c r="V38" i="2"/>
  <c r="W38" i="2"/>
  <c r="X38" i="2"/>
  <c r="Y38" i="2"/>
  <c r="Z38" i="2"/>
  <c r="AA38" i="2"/>
  <c r="AB38" i="2"/>
  <c r="AC38" i="2"/>
  <c r="AD38" i="2"/>
  <c r="S38" i="2"/>
  <c r="N11" i="2"/>
  <c r="T34" i="2"/>
  <c r="U34" i="2"/>
  <c r="V34" i="2"/>
  <c r="W34" i="2"/>
  <c r="X34" i="2"/>
  <c r="Y34" i="2"/>
  <c r="Z34" i="2"/>
  <c r="AA34" i="2"/>
  <c r="AB34" i="2"/>
  <c r="AC34" i="2"/>
  <c r="AD34" i="2"/>
  <c r="S34" i="2"/>
  <c r="AE34" i="2" s="1"/>
  <c r="T33" i="2"/>
  <c r="U33" i="2"/>
  <c r="V33" i="2"/>
  <c r="W33" i="2"/>
  <c r="X33" i="2"/>
  <c r="Y33" i="2"/>
  <c r="Z33" i="2"/>
  <c r="AA33" i="2"/>
  <c r="AB33" i="2"/>
  <c r="AC33" i="2"/>
  <c r="AD33" i="2"/>
  <c r="T31" i="2"/>
  <c r="U31" i="2"/>
  <c r="V31" i="2"/>
  <c r="W31" i="2"/>
  <c r="X31" i="2"/>
  <c r="Y31" i="2"/>
  <c r="Z31" i="2"/>
  <c r="AA31" i="2"/>
  <c r="AB31" i="2"/>
  <c r="AC31" i="2"/>
  <c r="AD31" i="2"/>
  <c r="S31" i="2"/>
  <c r="T29" i="2"/>
  <c r="U29" i="2"/>
  <c r="V29" i="2"/>
  <c r="W29" i="2"/>
  <c r="X29" i="2"/>
  <c r="Y29" i="2"/>
  <c r="Z29" i="2"/>
  <c r="AA29" i="2"/>
  <c r="AB29" i="2"/>
  <c r="AC29" i="2"/>
  <c r="AD29" i="2"/>
  <c r="S29" i="2"/>
  <c r="T27" i="2"/>
  <c r="U27" i="2"/>
  <c r="V27" i="2"/>
  <c r="W27" i="2"/>
  <c r="X27" i="2"/>
  <c r="Y27" i="2"/>
  <c r="Z27" i="2"/>
  <c r="AA27" i="2"/>
  <c r="AB27" i="2"/>
  <c r="AC27" i="2"/>
  <c r="AD27" i="2"/>
  <c r="S27" i="2"/>
  <c r="R11" i="2"/>
  <c r="AH13" i="2"/>
  <c r="AI13" i="2"/>
  <c r="AJ13" i="2"/>
  <c r="AK13" i="2"/>
  <c r="AL13" i="2"/>
  <c r="AM13" i="2"/>
  <c r="AN13" i="2"/>
  <c r="AO13" i="2"/>
  <c r="AP13" i="2"/>
  <c r="AQ13" i="2"/>
  <c r="AR13" i="2"/>
  <c r="AG13" i="2"/>
  <c r="R8" i="2"/>
  <c r="AA3" i="2"/>
  <c r="AB3" i="2"/>
  <c r="AC3" i="2"/>
  <c r="AD3" i="2"/>
  <c r="AA4" i="2"/>
  <c r="AB4" i="2"/>
  <c r="AC4" i="2"/>
  <c r="AD4" i="2"/>
  <c r="T3" i="2"/>
  <c r="U3" i="2"/>
  <c r="V3" i="2"/>
  <c r="W3" i="2"/>
  <c r="X3" i="2"/>
  <c r="Y3" i="2"/>
  <c r="Z3" i="2"/>
  <c r="T4" i="2"/>
  <c r="U4" i="2"/>
  <c r="V4" i="2"/>
  <c r="W4" i="2"/>
  <c r="X4" i="2"/>
  <c r="Y4" i="2"/>
  <c r="Z4" i="2"/>
  <c r="S4" i="2"/>
  <c r="S3" i="2"/>
  <c r="B10" i="2" a="1"/>
  <c r="B10" i="2" s="1"/>
  <c r="AG12" i="2" s="1"/>
  <c r="K5" i="2" a="1"/>
  <c r="K5" i="2" s="1"/>
  <c r="N5" i="2" s="1"/>
  <c r="B9" i="2" a="1"/>
  <c r="B9" i="2" s="1"/>
  <c r="N9" i="2" s="1"/>
  <c r="B8" i="2" a="1"/>
  <c r="B8" i="2" s="1"/>
  <c r="AG10" i="2" s="1"/>
  <c r="B7" i="2" a="1"/>
  <c r="B7" i="2" s="1"/>
  <c r="AG9" i="2" s="1"/>
  <c r="B6" i="2" a="1"/>
  <c r="B6" i="2" s="1"/>
  <c r="AG8" i="2" s="1"/>
  <c r="B3" i="1"/>
  <c r="B4" i="1"/>
  <c r="B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2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3" i="1"/>
  <c r="A4" i="1"/>
  <c r="A5" i="1"/>
  <c r="A2" i="1"/>
  <c r="W5" i="2" l="1"/>
  <c r="AD5" i="2"/>
  <c r="N8" i="2"/>
  <c r="V5" i="2"/>
  <c r="N6" i="2"/>
  <c r="T5" i="2"/>
  <c r="AB5" i="2"/>
  <c r="AA5" i="2"/>
  <c r="Z5" i="2"/>
  <c r="N7" i="2"/>
  <c r="U5" i="2"/>
  <c r="S5" i="2"/>
  <c r="N10" i="2"/>
  <c r="Y5" i="2"/>
  <c r="AC5" i="2"/>
  <c r="X5" i="2"/>
  <c r="X15" i="2"/>
  <c r="W15" i="2"/>
  <c r="V15" i="2"/>
  <c r="U15" i="2"/>
  <c r="T15" i="2"/>
  <c r="T12" i="2"/>
  <c r="T13" i="2" s="1"/>
  <c r="Y15" i="2"/>
  <c r="S15" i="2"/>
  <c r="AD15" i="2"/>
  <c r="AC15" i="2"/>
  <c r="AB15" i="2"/>
  <c r="AA15" i="2"/>
  <c r="Z15" i="2"/>
  <c r="S12" i="2"/>
  <c r="AD12" i="2"/>
  <c r="AD13" i="2" s="1"/>
  <c r="AB12" i="2"/>
  <c r="AB13" i="2" s="1"/>
  <c r="Z12" i="2"/>
  <c r="Z13" i="2" s="1"/>
  <c r="X12" i="2"/>
  <c r="X13" i="2" s="1"/>
  <c r="V12" i="2"/>
  <c r="V13" i="2" s="1"/>
  <c r="U12" i="2"/>
  <c r="U13" i="2" s="1"/>
  <c r="AC12" i="2"/>
  <c r="AA12" i="2"/>
  <c r="AA13" i="2" s="1"/>
  <c r="Y12" i="2"/>
  <c r="Y13" i="2" s="1"/>
  <c r="W12" i="2"/>
  <c r="W13" i="2" s="1"/>
  <c r="V9" i="2"/>
  <c r="S9" i="2"/>
  <c r="AN11" i="2"/>
  <c r="AN8" i="2"/>
  <c r="AO8" i="2"/>
  <c r="AM11" i="2"/>
  <c r="AR9" i="2"/>
  <c r="AQ9" i="2"/>
  <c r="AJ11" i="2"/>
  <c r="AK8" i="2"/>
  <c r="AI11" i="2"/>
  <c r="AO9" i="2"/>
  <c r="AJ8" i="2"/>
  <c r="AI10" i="2"/>
  <c r="U9" i="2"/>
  <c r="U19" i="2" s="1"/>
  <c r="AK11" i="2"/>
  <c r="AH11" i="2"/>
  <c r="AN9" i="2"/>
  <c r="AI8" i="2"/>
  <c r="T9" i="2"/>
  <c r="T19" i="2" s="1"/>
  <c r="AP9" i="2"/>
  <c r="AR10" i="2"/>
  <c r="AM9" i="2"/>
  <c r="AH8" i="2"/>
  <c r="AG11" i="2"/>
  <c r="AG6" i="2" s="1"/>
  <c r="AQ10" i="2"/>
  <c r="AL9" i="2"/>
  <c r="AD9" i="2"/>
  <c r="AD19" i="2" s="1"/>
  <c r="AH10" i="2"/>
  <c r="AL11" i="2"/>
  <c r="AM8" i="2"/>
  <c r="AL8" i="2"/>
  <c r="AP10" i="2"/>
  <c r="AO10" i="2"/>
  <c r="AJ9" i="2"/>
  <c r="AB9" i="2"/>
  <c r="AB19" i="2" s="1"/>
  <c r="AK9" i="2"/>
  <c r="AC9" i="2"/>
  <c r="AC19" i="2" s="1"/>
  <c r="AN10" i="2"/>
  <c r="AI9" i="2"/>
  <c r="AA9" i="2"/>
  <c r="AA19" i="2" s="1"/>
  <c r="Y9" i="2"/>
  <c r="Y19" i="2" s="1"/>
  <c r="AR11" i="2"/>
  <c r="AM10" i="2"/>
  <c r="AH9" i="2"/>
  <c r="Z9" i="2"/>
  <c r="Z19" i="2" s="1"/>
  <c r="AQ11" i="2"/>
  <c r="AL10" i="2"/>
  <c r="AR8" i="2"/>
  <c r="AP11" i="2"/>
  <c r="AK10" i="2"/>
  <c r="AQ8" i="2"/>
  <c r="X9" i="2"/>
  <c r="X19" i="2" s="1"/>
  <c r="AO11" i="2"/>
  <c r="AJ10" i="2"/>
  <c r="AP8" i="2"/>
  <c r="W9" i="2"/>
  <c r="W19" i="2" s="1"/>
  <c r="AR12" i="2"/>
  <c r="AQ12" i="2"/>
  <c r="AP12" i="2"/>
  <c r="AO12" i="2"/>
  <c r="AN12" i="2"/>
  <c r="AM12" i="2"/>
  <c r="AL12" i="2"/>
  <c r="AK12" i="2"/>
  <c r="AJ12" i="2"/>
  <c r="AI12" i="2"/>
  <c r="AH12" i="2"/>
  <c r="AB10" i="2" l="1"/>
  <c r="T10" i="2"/>
  <c r="Z10" i="2"/>
  <c r="AK6" i="2"/>
  <c r="AN6" i="2"/>
  <c r="U10" i="2"/>
  <c r="AH6" i="2"/>
  <c r="AO6" i="2"/>
  <c r="AJ6" i="2"/>
  <c r="AP6" i="2"/>
  <c r="AI6" i="2"/>
  <c r="AL6" i="2"/>
  <c r="X10" i="2"/>
  <c r="W22" i="2"/>
  <c r="AQ6" i="2"/>
  <c r="AC10" i="2"/>
  <c r="AA10" i="2"/>
  <c r="AE5" i="2"/>
  <c r="U22" i="2"/>
  <c r="W10" i="2"/>
  <c r="AC22" i="2"/>
  <c r="AB22" i="2"/>
  <c r="S19" i="2"/>
  <c r="S10" i="2"/>
  <c r="AR6" i="2"/>
  <c r="S13" i="2"/>
  <c r="AM6" i="2"/>
  <c r="Z22" i="2"/>
  <c r="Y22" i="2"/>
  <c r="T22" i="2"/>
  <c r="V19" i="2"/>
  <c r="V10" i="2"/>
  <c r="AD22" i="2"/>
  <c r="AD10" i="2"/>
  <c r="AA22" i="2"/>
  <c r="X22" i="2"/>
  <c r="Y10" i="2"/>
  <c r="S22" i="2" l="1"/>
  <c r="S23" i="2" s="1"/>
  <c r="S20" i="2"/>
  <c r="V22" i="2"/>
  <c r="V23" i="2" s="1"/>
  <c r="AD20" i="2"/>
  <c r="AD23" i="2"/>
  <c r="T20" i="2"/>
  <c r="T23" i="2"/>
  <c r="W20" i="2"/>
  <c r="W23" i="2"/>
  <c r="AB20" i="2"/>
  <c r="AB23" i="2"/>
  <c r="AC20" i="2"/>
  <c r="AC23" i="2"/>
  <c r="Y20" i="2"/>
  <c r="Y23" i="2"/>
  <c r="X20" i="2"/>
  <c r="X23" i="2"/>
  <c r="Z20" i="2"/>
  <c r="Z23" i="2"/>
  <c r="U20" i="2"/>
  <c r="U23" i="2"/>
  <c r="AA20" i="2"/>
  <c r="AA23" i="2"/>
  <c r="V20" i="2"/>
  <c r="AE10" i="2"/>
  <c r="AE13" i="2"/>
  <c r="AE20" i="2" l="1"/>
  <c r="AE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<sst xmlns="http://schemas.openxmlformats.org/spreadsheetml/2006/main" count="173" uniqueCount="104">
  <si>
    <t>PeriodName</t>
  </si>
  <si>
    <t>Sales TY ($)</t>
  </si>
  <si>
    <t>Sales LY ($)</t>
  </si>
  <si>
    <t>Sales TY (Units)</t>
  </si>
  <si>
    <t>Sales LY (Units)</t>
  </si>
  <si>
    <t>Var LY (Units)</t>
  </si>
  <si>
    <t>Sales TY (ATV)</t>
  </si>
  <si>
    <t>Sales LY (ATV)</t>
  </si>
  <si>
    <t>% Margin TY</t>
  </si>
  <si>
    <t>% Margin LY</t>
  </si>
  <si>
    <t>202001 - JAN</t>
  </si>
  <si>
    <t>202002 - FEB</t>
  </si>
  <si>
    <t>202003 - MAR</t>
  </si>
  <si>
    <t>Total</t>
  </si>
  <si>
    <t>Applied filters:
Añofiscal is 2020
ENG_DIVISION is AUDIO VISUAL
ENG_DEPARTMENT is VISION
REGION is CAR
COUNTRY is Trinidad and Tobago
ENG_CLASS is not (Blank) or PREPAID BALANCE
REGION is not ALL or USA
COUNTRY is not Paraguay or Aruba</t>
  </si>
  <si>
    <t>202004 - APR</t>
  </si>
  <si>
    <t>202005 - MAY</t>
  </si>
  <si>
    <t>202006 - JUN</t>
  </si>
  <si>
    <t>202007 - JUL</t>
  </si>
  <si>
    <t>202008 - AUG</t>
  </si>
  <si>
    <t>202009 - SEP</t>
  </si>
  <si>
    <t>202010 - OCT</t>
  </si>
  <si>
    <t>202011 - NOV</t>
  </si>
  <si>
    <t>202012 - DEC</t>
  </si>
  <si>
    <t>202101 - JAN</t>
  </si>
  <si>
    <t>202102 - FEB</t>
  </si>
  <si>
    <t>202103 - MAR</t>
  </si>
  <si>
    <t>Applied filters:
Añofiscal is 2021
ENG_DIVISION is AUDIO VISUAL
ENG_DEPARTMENT is VISION
REGION is CAR
COUNTRY is Trinidad and Tobago
ENG_CLASS is not (Blank) or PREPAID BALANCE
REGION is not ALL or USA
COUNTRY is not Paraguay or Aruba</t>
  </si>
  <si>
    <t>202104 - APR</t>
  </si>
  <si>
    <t>202105 - MAY</t>
  </si>
  <si>
    <t>202106 - JUN</t>
  </si>
  <si>
    <t>202107 - JUL</t>
  </si>
  <si>
    <t>202108 - AUG</t>
  </si>
  <si>
    <t>202109 - SEP</t>
  </si>
  <si>
    <t>202110 - OCT</t>
  </si>
  <si>
    <t>202111 - NOV</t>
  </si>
  <si>
    <t>202112 - DEC</t>
  </si>
  <si>
    <t>202201 - JAN</t>
  </si>
  <si>
    <t>202202 - FEB</t>
  </si>
  <si>
    <t>202203 - MAR</t>
  </si>
  <si>
    <t>Applied filters:
Añofiscal is 2022
ENG_DIVISION is AUDIO VISUAL
ENG_DEPARTMENT is VISION
REGION is CAR
COUNTRY is Trinidad and Tobago
ENG_CLASS is not (Blank) or PREPAID BALANCE
REGION is not ALL or USA
COUNTRY is not Paraguay or Aruba</t>
  </si>
  <si>
    <t>202204 - APR</t>
  </si>
  <si>
    <t>202205 - MAY</t>
  </si>
  <si>
    <t>202206 - JUN</t>
  </si>
  <si>
    <t>202207 - JUL</t>
  </si>
  <si>
    <t>202208 - AUG</t>
  </si>
  <si>
    <t>202209 - SEP</t>
  </si>
  <si>
    <t>202210 - OCT</t>
  </si>
  <si>
    <t>202211 - NOV</t>
  </si>
  <si>
    <t>202212 - DEC</t>
  </si>
  <si>
    <t>202301 - JAN</t>
  </si>
  <si>
    <t>202302 - FEB</t>
  </si>
  <si>
    <t>202303 - MAR</t>
  </si>
  <si>
    <t>Applied filters:
Añofiscal is 2023
ENG_DIVISION is AUDIO VISUAL
ENG_DEPARTMENT is VISION
REGION is CAR
COUNTRY is Trinidad and Tobago
ENG_CLASS is not (Blank) or PREPAID BALANCE
REGION is not ALL or USA
COUNTRY is not Paraguay or Aruba</t>
  </si>
  <si>
    <t>202304 - APR</t>
  </si>
  <si>
    <t>202305 - MAY</t>
  </si>
  <si>
    <t>202306 - JUN</t>
  </si>
  <si>
    <t>202307 - JUL</t>
  </si>
  <si>
    <t>202308 - AUG</t>
  </si>
  <si>
    <t>202309 - SEP</t>
  </si>
  <si>
    <t>202310 - OCT</t>
  </si>
  <si>
    <t>202311 - NOV</t>
  </si>
  <si>
    <t>202312 - DEC</t>
  </si>
  <si>
    <t>202401 - JAN</t>
  </si>
  <si>
    <t>202402 - FEB</t>
  </si>
  <si>
    <t>202403 - MAR</t>
  </si>
  <si>
    <t>Applied filters:
Añofiscal is 2024
ENG_DIVISION is AUDIO VISUAL
ENG_DEPARTMENT is VISION
REGION is CAR
COUNTRY is Trinidad and Tobago
ENG_CLASS is not (Blank) or PREPAID BALANCE
REGION is not ALL or USA
COUNTRY is not Paraguay or Aruba</t>
  </si>
  <si>
    <t>202404 - APR</t>
  </si>
  <si>
    <t>202405 - MAY</t>
  </si>
  <si>
    <t>202406 - JUN</t>
  </si>
  <si>
    <t>202407 - JUL</t>
  </si>
  <si>
    <t>202408 - AUG</t>
  </si>
  <si>
    <t>202409 - SEP</t>
  </si>
  <si>
    <t>202410 - OCT</t>
  </si>
  <si>
    <t>202411 - NOV</t>
  </si>
  <si>
    <t>202412 - DEC</t>
  </si>
  <si>
    <t>202501 - JAN</t>
  </si>
  <si>
    <t>202502 - FEB</t>
  </si>
  <si>
    <t>202503 - MAR</t>
  </si>
  <si>
    <t>Applied filters:
Añofiscal is 2025
ENG_DIVISION is AUDIO VISUAL
ENG_DEPARTMENT is VISION
REGION is CAR
COUNTRY is Trinidad and Tobago
ENG_CLASS is not (Blank) or PREPAID BALANCE
REGION is not ALL or USA
COUNTRY is not Paraguay or Aruba</t>
  </si>
  <si>
    <t>Year</t>
  </si>
  <si>
    <t>Month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</si>
  <si>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</si>
  <si>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</si>
  <si>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</si>
  <si>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</si>
  <si>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</si>
  <si>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</si>
  <si>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</si>
  <si>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</si>
  <si>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</si>
  <si>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</si>
  <si>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</si>
  <si>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</si>
  <si>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Average</t>
  </si>
  <si>
    <t>Model</t>
  </si>
  <si>
    <t>WMA</t>
  </si>
  <si>
    <t>LY</t>
  </si>
  <si>
    <t>TY</t>
  </si>
  <si>
    <t>FORECAST</t>
  </si>
  <si>
    <t>SEASONALITY</t>
  </si>
  <si>
    <t>EXP SMOOTHING</t>
  </si>
  <si>
    <t>AVERAGE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</si>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</sst>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2" fontId="2" fillId="0" borderId="1" xfId="0" applyNumberFormat="1" applyFont="1" applyBorder="1" applyAlignment="1">
      <alignment horizontal="center" vertical="top"/>
    </xf>
    <xf numFmtId="2" fontId="3" fillId="0" borderId="0" xfId="0" applyNumberFormat="1" applyFont="1"/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0" fontId="6" fillId="0" borderId="0" xfId="0" applyFont="1"/>
    <xf numFmtId="2" fontId="6" fillId="0" borderId="0" xfId="0" applyNumberFormat="1" applyFont="1"/>
    <xf numFmtId="1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right" vertical="center"/>
    </xf>
    <xf numFmtId="0" fontId="5" fillId="0" borderId="0" xfId="0" applyFont="1"/>
    <xf numFmtId="9" fontId="3" fillId="0" borderId="0" xfId="2" applyFont="1"/>
    <xf numFmtId="9" fontId="3" fillId="0" borderId="0" xfId="2" applyFont="1" applyAlignment="1">
      <alignment vertical="center"/>
    </xf>
    <xf numFmtId="1" fontId="3" fillId="0" borderId="0" xfId="2" applyNumberFormat="1" applyFont="1" applyAlignment="1">
      <alignment vertical="center"/>
    </xf>
    <xf numFmtId="9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B88C00"/>
      <color rgb="FFBC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Forecast!$AF$6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Forecast!$AG$6:$AR$6</c:f>
              <c:numCache>
                <c:formatCode>0.00</c:formatCode>
                <c:ptCount val="12"/>
                <c:pt idx="0">
                  <c:v>0.47294115889984534</c:v>
                </c:pt>
                <c:pt idx="1">
                  <c:v>0.3675810396498092</c:v>
                </c:pt>
                <c:pt idx="2">
                  <c:v>0.62407524817884374</c:v>
                </c:pt>
                <c:pt idx="3">
                  <c:v>0.64454370523259008</c:v>
                </c:pt>
                <c:pt idx="4">
                  <c:v>0.9521176436676958</c:v>
                </c:pt>
                <c:pt idx="5">
                  <c:v>0.86210969224350908</c:v>
                </c:pt>
                <c:pt idx="6">
                  <c:v>1.1715308613495499</c:v>
                </c:pt>
                <c:pt idx="7">
                  <c:v>2.9322984081084638</c:v>
                </c:pt>
                <c:pt idx="8">
                  <c:v>1.9646130724820468</c:v>
                </c:pt>
                <c:pt idx="9">
                  <c:v>0.61126629898277873</c:v>
                </c:pt>
                <c:pt idx="10">
                  <c:v>0.60769759329340445</c:v>
                </c:pt>
                <c:pt idx="11">
                  <c:v>0.66860985215243751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00-45ED-98ED-B89F2C60F1D3}"/>
            </c:ext>
          </c:extLst>
        </c:ser>
        <c:ser>
          <c:idx val="1"/>
          <c:order val="1"/>
          <c:tx>
            <c:strRef>
              <c:f>Forecast!$AF$8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Forecast!$AG$8:$AR$8</c:f>
              <c:numCache>
                <c:formatCode>0.00</c:formatCode>
                <c:ptCount val="12"/>
                <c:pt idx="0">
                  <c:v>1.6499381273202256E-3</c:v>
                </c:pt>
                <c:pt idx="1">
                  <c:v>3.5968651175580915E-2</c:v>
                </c:pt>
                <c:pt idx="2">
                  <c:v>1.0721297951326825</c:v>
                </c:pt>
                <c:pt idx="3">
                  <c:v>1.0262615151931802</c:v>
                </c:pt>
                <c:pt idx="4">
                  <c:v>1.090609102158669</c:v>
                </c:pt>
                <c:pt idx="5">
                  <c:v>0.71343324625326554</c:v>
                </c:pt>
                <c:pt idx="6">
                  <c:v>0.90779595765158816</c:v>
                </c:pt>
                <c:pt idx="7">
                  <c:v>2.544864567578716</c:v>
                </c:pt>
                <c:pt idx="8">
                  <c:v>2.4551079334524957</c:v>
                </c:pt>
                <c:pt idx="9">
                  <c:v>0.76986113020761726</c:v>
                </c:pt>
                <c:pt idx="10">
                  <c:v>0.58572803519868011</c:v>
                </c:pt>
                <c:pt idx="11">
                  <c:v>0.79659012787020489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00-45ED-98ED-B89F2C60F1D3}"/>
            </c:ext>
          </c:extLst>
        </c:ser>
        <c:ser>
          <c:idx val="2"/>
          <c:order val="2"/>
          <c:tx>
            <c:strRef>
              <c:f>Forecast!$AF$9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Forecast!$AG$9:$AR$9</c:f>
              <c:numCache>
                <c:formatCode>0.00</c:formatCode>
                <c:ptCount val="12"/>
                <c:pt idx="0">
                  <c:v>1.0130254813352069</c:v>
                </c:pt>
                <c:pt idx="1">
                  <c:v>0.14400182280788365</c:v>
                </c:pt>
                <c:pt idx="2">
                  <c:v>5.4684236509322907E-3</c:v>
                </c:pt>
                <c:pt idx="3">
                  <c:v>-4.5570197091102425E-4</c:v>
                </c:pt>
                <c:pt idx="4">
                  <c:v>1.4577906049443665</c:v>
                </c:pt>
                <c:pt idx="5">
                  <c:v>1.4691831542171421</c:v>
                </c:pt>
                <c:pt idx="6">
                  <c:v>1.3516120457220979</c:v>
                </c:pt>
                <c:pt idx="7">
                  <c:v>2.2552690540386591</c:v>
                </c:pt>
                <c:pt idx="8">
                  <c:v>2.2374966771731288</c:v>
                </c:pt>
                <c:pt idx="9">
                  <c:v>0.70542665097026547</c:v>
                </c:pt>
                <c:pt idx="10">
                  <c:v>0.6703375992101166</c:v>
                </c:pt>
                <c:pt idx="11">
                  <c:v>0.69084418790111268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00-45ED-98ED-B89F2C60F1D3}"/>
            </c:ext>
          </c:extLst>
        </c:ser>
        <c:ser>
          <c:idx val="3"/>
          <c:order val="3"/>
          <c:tx>
            <c:strRef>
              <c:f>Forecast!$AF$10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Forecast!$AG$10:$AR$10</c:f>
              <c:numCache>
                <c:formatCode>0.00</c:formatCode>
                <c:ptCount val="12"/>
                <c:pt idx="0">
                  <c:v>0.50639289538325882</c:v>
                </c:pt>
                <c:pt idx="1">
                  <c:v>0.54607293569314108</c:v>
                </c:pt>
                <c:pt idx="2">
                  <c:v>0.78415317755243441</c:v>
                </c:pt>
                <c:pt idx="3">
                  <c:v>0.77772879007369156</c:v>
                </c:pt>
                <c:pt idx="4">
                  <c:v>0.86955974050513329</c:v>
                </c:pt>
                <c:pt idx="5">
                  <c:v>0.80115890911381249</c:v>
                </c:pt>
                <c:pt idx="6">
                  <c:v>0.93342571014675324</c:v>
                </c:pt>
                <c:pt idx="7">
                  <c:v>2.5561504062480318</c:v>
                </c:pt>
                <c:pt idx="8">
                  <c:v>1.9567928449959062</c:v>
                </c:pt>
                <c:pt idx="9">
                  <c:v>0.57554953706619638</c:v>
                </c:pt>
                <c:pt idx="10">
                  <c:v>0.75014171442967814</c:v>
                </c:pt>
                <c:pt idx="11">
                  <c:v>0.94287333879196322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00-45ED-98ED-B89F2C60F1D3}"/>
            </c:ext>
          </c:extLst>
        </c:ser>
        <c:ser>
          <c:idx val="4"/>
          <c:order val="4"/>
          <c:tx>
            <c:strRef>
              <c:f>Forecast!$AF$11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Forecast!$AG$11:$AR$11</c:f>
              <c:numCache>
                <c:formatCode>0.00</c:formatCode>
                <c:ptCount val="12"/>
                <c:pt idx="0">
                  <c:v>0.54919493701477207</c:v>
                </c:pt>
                <c:pt idx="1">
                  <c:v>0.65287134096607558</c:v>
                </c:pt>
                <c:pt idx="2">
                  <c:v>0.67027157659426639</c:v>
                </c:pt>
                <c:pt idx="3">
                  <c:v>0.7213847687520768</c:v>
                </c:pt>
                <c:pt idx="4">
                  <c:v>0.68332175331540945</c:v>
                </c:pt>
                <c:pt idx="5">
                  <c:v>0.71485968039150527</c:v>
                </c:pt>
                <c:pt idx="6">
                  <c:v>1.0280639216989396</c:v>
                </c:pt>
                <c:pt idx="7">
                  <c:v>3.1131921578104702</c:v>
                </c:pt>
                <c:pt idx="8">
                  <c:v>1.9934144941546081</c:v>
                </c:pt>
                <c:pt idx="9">
                  <c:v>0.69890946439899704</c:v>
                </c:pt>
                <c:pt idx="10">
                  <c:v>0.64235869860737693</c:v>
                </c:pt>
                <c:pt idx="11">
                  <c:v>0.53215720629550189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00-45ED-98ED-B89F2C60F1D3}"/>
            </c:ext>
          </c:extLst>
        </c:ser>
        <c:ser>
          <c:idx val="5"/>
          <c:order val="5"/>
          <c:tx>
            <c:strRef>
              <c:f>Forecast!$AF$12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Forecast!$AG$12:$AR$12</c:f>
              <c:numCache>
                <c:formatCode>0.00</c:formatCode>
                <c:ptCount val="12"/>
                <c:pt idx="0">
                  <c:v>0.3274571359574982</c:v>
                </c:pt>
                <c:pt idx="1">
                  <c:v>0.33904853900024151</c:v>
                </c:pt>
                <c:pt idx="2">
                  <c:v>0.68002897850760691</c:v>
                </c:pt>
                <c:pt idx="3">
                  <c:v>0.77050631892457544</c:v>
                </c:pt>
                <c:pt idx="4">
                  <c:v>0.94405538114787091</c:v>
                </c:pt>
                <c:pt idx="5">
                  <c:v>0.70160186750382358</c:v>
                </c:pt>
                <c:pt idx="6">
                  <c:v>1.2637849150768736</c:v>
                </c:pt>
                <c:pt idx="7">
                  <c:v>4.3963615873782498</c:v>
                </c:pt>
                <c:pt idx="8">
                  <c:v>1.3671415922080012</c:v>
                </c:pt>
                <c:pt idx="9">
                  <c:v>0.43950736537068341</c:v>
                </c:pt>
                <c:pt idx="10">
                  <c:v>0.3899219190211704</c:v>
                </c:pt>
                <c:pt idx="11">
                  <c:v>0.38058439990340498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00-45ED-98ED-B89F2C60F1D3}"/>
            </c:ext>
          </c:extLst>
        </c:ser>
        <c:ser>
          <c:idx val="6"/>
          <c:order val="6"/>
          <c:tx>
            <c:strRef>
              <c:f>Forecast!$AF$13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Forecast!$AG$4:$AR$4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Forecast!$AG$13:$AR$13</c:f>
              <c:numCache>
                <c:formatCode>0.00</c:formatCode>
                <c:ptCount val="12"/>
                <c:pt idx="0">
                  <c:v>0.43992656558101584</c:v>
                </c:pt>
                <c:pt idx="1">
                  <c:v>0.48752294825593251</c:v>
                </c:pt>
                <c:pt idx="2">
                  <c:v>0.5323995376351397</c:v>
                </c:pt>
                <c:pt idx="3">
                  <c:v>0.57183654042292786</c:v>
                </c:pt>
                <c:pt idx="4">
                  <c:v>0.66736927993472495</c:v>
                </c:pt>
                <c:pt idx="5">
                  <c:v>0.77242129598150533</c:v>
                </c:pt>
                <c:pt idx="6">
                  <c:v>1.544502617801047</c:v>
                </c:pt>
                <c:pt idx="7">
                  <c:v>2.7279526755966548</c:v>
                </c:pt>
                <c:pt idx="8">
                  <c:v>1.7777248929081388</c:v>
                </c:pt>
                <c:pt idx="9">
                  <c:v>0.47834364588291289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00-45ED-98ED-B89F2C60F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729903"/>
        <c:axId val="1345731823"/>
      </c:scatterChart>
      <c:valAx>
        <c:axId val="1345729903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Month - (Apr = 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31823"/>
        <c:crosses val="autoZero"/>
        <c:crossBetween val="midCat"/>
        <c:majorUnit val="1"/>
      </c:valAx>
      <c:valAx>
        <c:axId val="1345731823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2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Forecast!$A$5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Forecast!$B$5:$M$5</c:f>
              <c:numCache>
                <c:formatCode>General</c:formatCode>
                <c:ptCount val="12"/>
                <c:pt idx="9">
                  <c:v>2288</c:v>
                </c:pt>
                <c:pt idx="10">
                  <c:v>2239</c:v>
                </c:pt>
                <c:pt idx="11">
                  <c:v>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08-495D-BA9E-B62760C958BA}"/>
            </c:ext>
          </c:extLst>
        </c:ser>
        <c:ser>
          <c:idx val="1"/>
          <c:order val="1"/>
          <c:tx>
            <c:strRef>
              <c:f>Forecast!$A$6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Forecast!$B$6:$M$6</c:f>
              <c:numCache>
                <c:formatCode>General</c:formatCode>
                <c:ptCount val="12"/>
                <c:pt idx="0">
                  <c:v>5</c:v>
                </c:pt>
                <c:pt idx="1">
                  <c:v>109</c:v>
                </c:pt>
                <c:pt idx="2">
                  <c:v>3249</c:v>
                </c:pt>
                <c:pt idx="3">
                  <c:v>3110</c:v>
                </c:pt>
                <c:pt idx="4">
                  <c:v>3305</c:v>
                </c:pt>
                <c:pt idx="5">
                  <c:v>2162</c:v>
                </c:pt>
                <c:pt idx="6">
                  <c:v>2751</c:v>
                </c:pt>
                <c:pt idx="7">
                  <c:v>7712</c:v>
                </c:pt>
                <c:pt idx="8">
                  <c:v>7440</c:v>
                </c:pt>
                <c:pt idx="9">
                  <c:v>2333</c:v>
                </c:pt>
                <c:pt idx="10">
                  <c:v>1775</c:v>
                </c:pt>
                <c:pt idx="11">
                  <c:v>2414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08-495D-BA9E-B62760C958BA}"/>
            </c:ext>
          </c:extLst>
        </c:ser>
        <c:ser>
          <c:idx val="2"/>
          <c:order val="2"/>
          <c:tx>
            <c:strRef>
              <c:f>Forecast!$A$7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Forecast!$B$7:$M$7</c:f>
              <c:numCache>
                <c:formatCode>General</c:formatCode>
                <c:ptCount val="12"/>
                <c:pt idx="0">
                  <c:v>2223</c:v>
                </c:pt>
                <c:pt idx="1">
                  <c:v>316</c:v>
                </c:pt>
                <c:pt idx="2">
                  <c:v>12</c:v>
                </c:pt>
                <c:pt idx="3">
                  <c:v>-1</c:v>
                </c:pt>
                <c:pt idx="4">
                  <c:v>3199</c:v>
                </c:pt>
                <c:pt idx="5">
                  <c:v>3224</c:v>
                </c:pt>
                <c:pt idx="6">
                  <c:v>2966</c:v>
                </c:pt>
                <c:pt idx="7">
                  <c:v>4949</c:v>
                </c:pt>
                <c:pt idx="8">
                  <c:v>4910</c:v>
                </c:pt>
                <c:pt idx="9">
                  <c:v>1548</c:v>
                </c:pt>
                <c:pt idx="10">
                  <c:v>1471</c:v>
                </c:pt>
                <c:pt idx="11">
                  <c:v>1516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08-495D-BA9E-B62760C958BA}"/>
            </c:ext>
          </c:extLst>
        </c:ser>
        <c:ser>
          <c:idx val="3"/>
          <c:order val="3"/>
          <c:tx>
            <c:strRef>
              <c:f>Forecast!$A$8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Forecast!$B$8:$M$8</c:f>
              <c:numCache>
                <c:formatCode>General</c:formatCode>
                <c:ptCount val="12"/>
                <c:pt idx="0">
                  <c:v>1340</c:v>
                </c:pt>
                <c:pt idx="1">
                  <c:v>1445</c:v>
                </c:pt>
                <c:pt idx="2">
                  <c:v>2075</c:v>
                </c:pt>
                <c:pt idx="3">
                  <c:v>2058</c:v>
                </c:pt>
                <c:pt idx="4">
                  <c:v>2301</c:v>
                </c:pt>
                <c:pt idx="5">
                  <c:v>2120</c:v>
                </c:pt>
                <c:pt idx="6">
                  <c:v>2470</c:v>
                </c:pt>
                <c:pt idx="7">
                  <c:v>6764</c:v>
                </c:pt>
                <c:pt idx="8">
                  <c:v>5178</c:v>
                </c:pt>
                <c:pt idx="9">
                  <c:v>1523</c:v>
                </c:pt>
                <c:pt idx="10">
                  <c:v>1985</c:v>
                </c:pt>
                <c:pt idx="11">
                  <c:v>2495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08-495D-BA9E-B62760C958BA}"/>
            </c:ext>
          </c:extLst>
        </c:ser>
        <c:ser>
          <c:idx val="4"/>
          <c:order val="4"/>
          <c:tx>
            <c:strRef>
              <c:f>Forecast!$A$9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Forecast!$B$9:$M$9</c:f>
              <c:numCache>
                <c:formatCode>General</c:formatCode>
                <c:ptCount val="12"/>
                <c:pt idx="0">
                  <c:v>1515</c:v>
                </c:pt>
                <c:pt idx="1">
                  <c:v>1801</c:v>
                </c:pt>
                <c:pt idx="2">
                  <c:v>1849</c:v>
                </c:pt>
                <c:pt idx="3">
                  <c:v>1990</c:v>
                </c:pt>
                <c:pt idx="4">
                  <c:v>1885</c:v>
                </c:pt>
                <c:pt idx="5">
                  <c:v>1972</c:v>
                </c:pt>
                <c:pt idx="6">
                  <c:v>2836</c:v>
                </c:pt>
                <c:pt idx="7">
                  <c:v>8588</c:v>
                </c:pt>
                <c:pt idx="8">
                  <c:v>5499</c:v>
                </c:pt>
                <c:pt idx="9">
                  <c:v>1928</c:v>
                </c:pt>
                <c:pt idx="10">
                  <c:v>1772</c:v>
                </c:pt>
                <c:pt idx="11">
                  <c:v>1468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08-495D-BA9E-B62760C958BA}"/>
            </c:ext>
          </c:extLst>
        </c:ser>
        <c:ser>
          <c:idx val="5"/>
          <c:order val="5"/>
          <c:tx>
            <c:strRef>
              <c:f>Forecast!$A$10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Forecast!$B$10:$M$10</c:f>
              <c:numCache>
                <c:formatCode>General</c:formatCode>
                <c:ptCount val="12"/>
                <c:pt idx="0">
                  <c:v>1017</c:v>
                </c:pt>
                <c:pt idx="1">
                  <c:v>1053</c:v>
                </c:pt>
                <c:pt idx="2">
                  <c:v>2112</c:v>
                </c:pt>
                <c:pt idx="3">
                  <c:v>2393</c:v>
                </c:pt>
                <c:pt idx="4">
                  <c:v>2932</c:v>
                </c:pt>
                <c:pt idx="5">
                  <c:v>2179</c:v>
                </c:pt>
                <c:pt idx="6">
                  <c:v>3925</c:v>
                </c:pt>
                <c:pt idx="7">
                  <c:v>13654</c:v>
                </c:pt>
                <c:pt idx="8">
                  <c:v>4246</c:v>
                </c:pt>
                <c:pt idx="9">
                  <c:v>1365</c:v>
                </c:pt>
                <c:pt idx="10">
                  <c:v>1211</c:v>
                </c:pt>
                <c:pt idx="11">
                  <c:v>1182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08-495D-BA9E-B62760C958BA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Forecast!$S$5:$AD$5</c:f>
              <c:numCache>
                <c:formatCode>0</c:formatCode>
                <c:ptCount val="12"/>
                <c:pt idx="0">
                  <c:v>1477.8</c:v>
                </c:pt>
                <c:pt idx="1">
                  <c:v>1026.3333333333333</c:v>
                </c:pt>
                <c:pt idx="2">
                  <c:v>1859.4</c:v>
                </c:pt>
                <c:pt idx="3">
                  <c:v>1910</c:v>
                </c:pt>
                <c:pt idx="4">
                  <c:v>2724.4</c:v>
                </c:pt>
                <c:pt idx="5">
                  <c:v>2331.4</c:v>
                </c:pt>
                <c:pt idx="6">
                  <c:v>2989.6</c:v>
                </c:pt>
                <c:pt idx="7">
                  <c:v>8333.4</c:v>
                </c:pt>
                <c:pt idx="8">
                  <c:v>5454.6</c:v>
                </c:pt>
                <c:pt idx="9">
                  <c:v>1830.8333333333333</c:v>
                </c:pt>
                <c:pt idx="10">
                  <c:v>1742.1666666666667</c:v>
                </c:pt>
                <c:pt idx="11">
                  <c:v>2025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08-495D-BA9E-B62760C958BA}"/>
            </c:ext>
          </c:extLst>
        </c:ser>
        <c:ser>
          <c:idx val="7"/>
          <c:order val="7"/>
          <c:tx>
            <c:strRef>
              <c:f>Forecast!$Q$7</c:f>
              <c:strCache>
                <c:ptCount val="1"/>
                <c:pt idx="0">
                  <c:v>WMA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Forecast!$S$15:$AD$15</c:f>
              <c:numCache>
                <c:formatCode>0</c:formatCode>
                <c:ptCount val="12"/>
                <c:pt idx="0">
                  <c:v>1141.6500000000001</c:v>
                </c:pt>
                <c:pt idx="1">
                  <c:v>1224.4500000000003</c:v>
                </c:pt>
                <c:pt idx="2">
                  <c:v>1866.3000000000002</c:v>
                </c:pt>
                <c:pt idx="3">
                  <c:v>2073.0500000000002</c:v>
                </c:pt>
                <c:pt idx="4">
                  <c:v>2495.9500000000003</c:v>
                </c:pt>
                <c:pt idx="5">
                  <c:v>2220.85</c:v>
                </c:pt>
                <c:pt idx="6">
                  <c:v>4203.1000000000004</c:v>
                </c:pt>
                <c:pt idx="7">
                  <c:v>11120.5</c:v>
                </c:pt>
                <c:pt idx="8">
                  <c:v>4688.3500000000004</c:v>
                </c:pt>
                <c:pt idx="9">
                  <c:v>1383.9</c:v>
                </c:pt>
                <c:pt idx="10">
                  <c:v>666.05000000000007</c:v>
                </c:pt>
                <c:pt idx="11">
                  <c:v>650.1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08-495D-BA9E-B62760C958BA}"/>
            </c:ext>
          </c:extLst>
        </c:ser>
        <c:ser>
          <c:idx val="8"/>
          <c:order val="8"/>
          <c:tx>
            <c:strRef>
              <c:f>Forecast!$A$11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Forecast!$B$4:$M$4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 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xVal>
          <c:yVal>
            <c:numRef>
              <c:f>Forecast!$B$11:$M$11</c:f>
              <c:numCache>
                <c:formatCode>General</c:formatCode>
                <c:ptCount val="12"/>
                <c:pt idx="0">
                  <c:v>1294</c:v>
                </c:pt>
                <c:pt idx="1">
                  <c:v>1434</c:v>
                </c:pt>
                <c:pt idx="2">
                  <c:v>1566</c:v>
                </c:pt>
                <c:pt idx="3">
                  <c:v>1682</c:v>
                </c:pt>
                <c:pt idx="4">
                  <c:v>1963</c:v>
                </c:pt>
                <c:pt idx="5">
                  <c:v>2272</c:v>
                </c:pt>
                <c:pt idx="6">
                  <c:v>4543</c:v>
                </c:pt>
                <c:pt idx="7">
                  <c:v>8024</c:v>
                </c:pt>
                <c:pt idx="8">
                  <c:v>5229</c:v>
                </c:pt>
                <c:pt idx="9">
                  <c:v>1407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08-495D-BA9E-B62760C95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142255"/>
        <c:axId val="1115143215"/>
      </c:scatterChart>
      <c:valAx>
        <c:axId val="1115142255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- (Apr = 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43215"/>
        <c:crosses val="autoZero"/>
        <c:crossBetween val="midCat"/>
        <c:majorUnit val="1"/>
        <c:minorUnit val="1"/>
      </c:valAx>
      <c:valAx>
        <c:axId val="1115143215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4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Average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Forecast!$S$5:$AD$5</c:f>
              <c:numCache>
                <c:formatCode>0</c:formatCode>
                <c:ptCount val="12"/>
                <c:pt idx="0">
                  <c:v>1477.8</c:v>
                </c:pt>
                <c:pt idx="1">
                  <c:v>1026.3333333333333</c:v>
                </c:pt>
                <c:pt idx="2">
                  <c:v>1859.4</c:v>
                </c:pt>
                <c:pt idx="3">
                  <c:v>1910</c:v>
                </c:pt>
                <c:pt idx="4">
                  <c:v>2724.4</c:v>
                </c:pt>
                <c:pt idx="5">
                  <c:v>2331.4</c:v>
                </c:pt>
                <c:pt idx="6">
                  <c:v>2989.6</c:v>
                </c:pt>
                <c:pt idx="7">
                  <c:v>8333.4</c:v>
                </c:pt>
                <c:pt idx="8">
                  <c:v>5454.6</c:v>
                </c:pt>
                <c:pt idx="9">
                  <c:v>1830.8333333333333</c:v>
                </c:pt>
                <c:pt idx="10">
                  <c:v>1742.1666666666667</c:v>
                </c:pt>
                <c:pt idx="11">
                  <c:v>2025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E-4988-BF89-91F0F22EC15E}"/>
            </c:ext>
          </c:extLst>
        </c:ser>
        <c:ser>
          <c:idx val="7"/>
          <c:order val="1"/>
          <c:tx>
            <c:strRef>
              <c:f>Forecast!$Q$7</c:f>
              <c:strCache>
                <c:ptCount val="1"/>
                <c:pt idx="0">
                  <c:v>WMA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Forecast!$S$15:$AD$15</c:f>
              <c:numCache>
                <c:formatCode>0</c:formatCode>
                <c:ptCount val="12"/>
                <c:pt idx="0">
                  <c:v>1141.6500000000001</c:v>
                </c:pt>
                <c:pt idx="1">
                  <c:v>1224.4500000000003</c:v>
                </c:pt>
                <c:pt idx="2">
                  <c:v>1866.3000000000002</c:v>
                </c:pt>
                <c:pt idx="3">
                  <c:v>2073.0500000000002</c:v>
                </c:pt>
                <c:pt idx="4">
                  <c:v>2495.9500000000003</c:v>
                </c:pt>
                <c:pt idx="5">
                  <c:v>2220.85</c:v>
                </c:pt>
                <c:pt idx="6">
                  <c:v>4203.1000000000004</c:v>
                </c:pt>
                <c:pt idx="7">
                  <c:v>11120.5</c:v>
                </c:pt>
                <c:pt idx="8">
                  <c:v>4688.3500000000004</c:v>
                </c:pt>
                <c:pt idx="9">
                  <c:v>1383.9</c:v>
                </c:pt>
                <c:pt idx="10">
                  <c:v>666.05000000000007</c:v>
                </c:pt>
                <c:pt idx="11">
                  <c:v>650.1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E-4988-BF89-91F0F22EC15E}"/>
            </c:ext>
          </c:extLst>
        </c:ser>
        <c:ser>
          <c:idx val="0"/>
          <c:order val="2"/>
          <c:tx>
            <c:strRef>
              <c:f>Forecast!$Q$18</c:f>
              <c:strCache>
                <c:ptCount val="1"/>
                <c:pt idx="0">
                  <c:v>EXP SMOOTHING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Forecast!$S$19:$AD$19</c:f>
              <c:numCache>
                <c:formatCode>0</c:formatCode>
                <c:ptCount val="12"/>
                <c:pt idx="0">
                  <c:v>1146.7350000000001</c:v>
                </c:pt>
                <c:pt idx="1">
                  <c:v>1245.348</c:v>
                </c:pt>
                <c:pt idx="2">
                  <c:v>2047.0920000000001</c:v>
                </c:pt>
                <c:pt idx="3">
                  <c:v>2286.0259999999998</c:v>
                </c:pt>
                <c:pt idx="4">
                  <c:v>2660.5419999999999</c:v>
                </c:pt>
                <c:pt idx="5">
                  <c:v>2127.1059999999998</c:v>
                </c:pt>
                <c:pt idx="6">
                  <c:v>3621.0879999999997</c:v>
                </c:pt>
                <c:pt idx="7">
                  <c:v>12236.932000000001</c:v>
                </c:pt>
                <c:pt idx="8">
                  <c:v>4575.643</c:v>
                </c:pt>
                <c:pt idx="9">
                  <c:v>1506.075</c:v>
                </c:pt>
                <c:pt idx="10">
                  <c:v>1368.221</c:v>
                </c:pt>
                <c:pt idx="11">
                  <c:v>1286.9490000000001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3E-4988-BF89-91F0F22EC15E}"/>
            </c:ext>
          </c:extLst>
        </c:ser>
        <c:ser>
          <c:idx val="1"/>
          <c:order val="3"/>
          <c:tx>
            <c:strRef>
              <c:f>Forecast!$A$11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Forecast!$B$3:$M$3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Forecast!$B$11:$M$11</c:f>
              <c:numCache>
                <c:formatCode>General</c:formatCode>
                <c:ptCount val="12"/>
                <c:pt idx="0">
                  <c:v>1294</c:v>
                </c:pt>
                <c:pt idx="1">
                  <c:v>1434</c:v>
                </c:pt>
                <c:pt idx="2">
                  <c:v>1566</c:v>
                </c:pt>
                <c:pt idx="3">
                  <c:v>1682</c:v>
                </c:pt>
                <c:pt idx="4">
                  <c:v>1963</c:v>
                </c:pt>
                <c:pt idx="5">
                  <c:v>2272</c:v>
                </c:pt>
                <c:pt idx="6">
                  <c:v>4543</c:v>
                </c:pt>
                <c:pt idx="7">
                  <c:v>8024</c:v>
                </c:pt>
                <c:pt idx="8">
                  <c:v>5229</c:v>
                </c:pt>
                <c:pt idx="9">
                  <c:v>1407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3E-4988-BF89-91F0F22EC15E}"/>
            </c:ext>
          </c:extLst>
        </c:ser>
        <c:ser>
          <c:idx val="2"/>
          <c:order val="4"/>
          <c:tx>
            <c:strRef>
              <c:f>Forecast!$Q$26</c:f>
              <c:strCache>
                <c:ptCount val="1"/>
                <c:pt idx="0">
                  <c:v>SEASONALITY</c:v>
                </c:pt>
              </c:strCache>
            </c:strRef>
          </c:tx>
          <c:spPr>
            <a:ln w="31750" cap="rnd">
              <a:solidFill>
                <a:srgbClr val="B88C00"/>
              </a:solidFill>
              <a:round/>
            </a:ln>
            <a:effectLst/>
          </c:spPr>
          <c:marker>
            <c:symbol val="none"/>
          </c:marker>
          <c:xVal>
            <c:numRef>
              <c:f>Forecast!$S$3:$AD$3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Forecast!$S$33:$AD$33</c:f>
              <c:numCache>
                <c:formatCode>0</c:formatCode>
                <c:ptCount val="12"/>
                <c:pt idx="0">
                  <c:v>1282.4062268657583</c:v>
                </c:pt>
                <c:pt idx="1">
                  <c:v>996.716410179327</c:v>
                </c:pt>
                <c:pt idx="2">
                  <c:v>1692.2147062840556</c:v>
                </c:pt>
                <c:pt idx="3">
                  <c:v>1747.7160647217918</c:v>
                </c:pt>
                <c:pt idx="4">
                  <c:v>2581.719886229605</c:v>
                </c:pt>
                <c:pt idx="5">
                  <c:v>2337.6583255011769</c:v>
                </c:pt>
                <c:pt idx="6">
                  <c:v>3176.6710155971568</c:v>
                </c:pt>
                <c:pt idx="7">
                  <c:v>7951.0900390532152</c:v>
                </c:pt>
                <c:pt idx="8">
                  <c:v>5327.1574912057622</c:v>
                </c:pt>
                <c:pt idx="9">
                  <c:v>1657.4825289306366</c:v>
                </c:pt>
                <c:pt idx="10">
                  <c:v>1647.8057851924711</c:v>
                </c:pt>
                <c:pt idx="11">
                  <c:v>1812.9727591031203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3E-4988-BF89-91F0F22E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142255"/>
        <c:axId val="1115143215"/>
      </c:scatterChart>
      <c:valAx>
        <c:axId val="1115142255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- (Apr = 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43215"/>
        <c:crosses val="autoZero"/>
        <c:crossBetween val="midCat"/>
        <c:majorUnit val="1"/>
        <c:minorUnit val="1"/>
      </c:valAx>
      <c:valAx>
        <c:axId val="1115143215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42255"/>
        <c:crosses val="autoZero"/>
        <c:crossBetween val="midCat"/>
        <c:majorUnit val="1000"/>
        <c:min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24</xdr:col>
      <xdr:colOff>152400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0678FB-88D1-44A2-8DFA-BF0715006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24</xdr:col>
      <xdr:colOff>152400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CAC10E-2702-4B3E-9528-54D0F0DDF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12</xdr:col>
      <xdr:colOff>152400</xdr:colOff>
      <xdr:row>41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580A6B-D0E4-497B-AB8C-D3C95B21E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workbookViewId="0">
      <selection activeCell="F28" sqref="F27:F38"/>
    </sheetView>
  </sheetViews>
  <sheetFormatPr defaultRowHeight="10.199999999999999" x14ac:dyDescent="0.2"/>
  <cols>
    <col min="1" max="2" width="8.88671875" style="2"/>
    <col min="3" max="3" width="20.109375" style="2" customWidth="1"/>
    <col min="4" max="5" width="10.109375" style="4" bestFit="1" customWidth="1"/>
    <col min="6" max="7" width="10.44140625" style="8" bestFit="1" customWidth="1"/>
    <col min="8" max="8" width="9.44140625" style="8" bestFit="1" customWidth="1"/>
    <col min="9" max="10" width="9.6640625" style="8" bestFit="1" customWidth="1"/>
    <col min="11" max="12" width="8.77734375" style="6" bestFit="1" customWidth="1"/>
    <col min="13" max="16384" width="8.88671875" style="2"/>
  </cols>
  <sheetData>
    <row r="1" spans="1:12" x14ac:dyDescent="0.2">
      <c r="A1" s="2" t="s">
        <v>80</v>
      </c>
      <c r="B1" s="2" t="s">
        <v>81</v>
      </c>
      <c r="C1" s="1" t="s">
        <v>0</v>
      </c>
      <c r="D1" s="3" t="s">
        <v>1</v>
      </c>
      <c r="E1" s="3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5" t="s">
        <v>8</v>
      </c>
      <c r="L1" s="5" t="s">
        <v>9</v>
      </c>
    </row>
    <row r="2" spans="1:12" x14ac:dyDescent="0.2">
      <c r="A2" s="2" t="str">
        <f>LEFT(C2,4)</f>
        <v>2020</v>
      </c>
      <c r="B2" s="2" t="str">
        <f>RIGHT(C2,3)</f>
        <v>JAN</v>
      </c>
      <c r="C2" s="2" t="s">
        <v>10</v>
      </c>
      <c r="D2" s="4">
        <v>839217.07887999946</v>
      </c>
      <c r="E2" s="4">
        <v>0</v>
      </c>
      <c r="F2" s="8">
        <v>2288</v>
      </c>
      <c r="G2" s="8">
        <v>0</v>
      </c>
      <c r="H2" s="8">
        <v>2288</v>
      </c>
      <c r="I2" s="8">
        <v>366.7906813286711</v>
      </c>
      <c r="K2" s="6">
        <v>0.26900679233230962</v>
      </c>
    </row>
    <row r="3" spans="1:12" x14ac:dyDescent="0.2">
      <c r="A3" s="2" t="str">
        <f t="shared" ref="A3:A66" si="0">LEFT(C3,4)</f>
        <v>2020</v>
      </c>
      <c r="B3" s="2" t="str">
        <f t="shared" ref="B3:B66" si="1">RIGHT(C3,3)</f>
        <v>FEB</v>
      </c>
      <c r="C3" s="2" t="s">
        <v>11</v>
      </c>
      <c r="D3" s="4">
        <v>770072.69422000006</v>
      </c>
      <c r="E3" s="4">
        <v>0</v>
      </c>
      <c r="F3" s="8">
        <v>2239</v>
      </c>
      <c r="G3" s="8">
        <v>0</v>
      </c>
      <c r="H3" s="8">
        <v>2239</v>
      </c>
      <c r="I3" s="8">
        <v>343.93599563197859</v>
      </c>
      <c r="K3" s="6">
        <v>0.3143632992924173</v>
      </c>
    </row>
    <row r="4" spans="1:12" x14ac:dyDescent="0.2">
      <c r="A4" s="2" t="str">
        <f t="shared" si="0"/>
        <v>2020</v>
      </c>
      <c r="B4" s="2" t="str">
        <f t="shared" si="1"/>
        <v>MAR</v>
      </c>
      <c r="C4" s="2" t="s">
        <v>12</v>
      </c>
      <c r="D4" s="4">
        <v>922851.50026999984</v>
      </c>
      <c r="E4" s="4">
        <v>0</v>
      </c>
      <c r="F4" s="8">
        <v>3075</v>
      </c>
      <c r="G4" s="8">
        <v>0</v>
      </c>
      <c r="H4" s="8">
        <v>3075</v>
      </c>
      <c r="I4" s="8">
        <v>300.11430903089428</v>
      </c>
      <c r="K4" s="6">
        <v>0.28499790059727981</v>
      </c>
    </row>
    <row r="5" spans="1:12" x14ac:dyDescent="0.2">
      <c r="A5" s="2" t="str">
        <f t="shared" si="0"/>
        <v>Tota</v>
      </c>
      <c r="B5" s="2" t="str">
        <f t="shared" si="1"/>
        <v>tal</v>
      </c>
      <c r="C5" s="2" t="s">
        <v>13</v>
      </c>
      <c r="D5" s="4">
        <v>2532141.2733700001</v>
      </c>
      <c r="E5" s="4">
        <v>0</v>
      </c>
      <c r="F5" s="8">
        <v>7602</v>
      </c>
      <c r="G5" s="8">
        <v>0</v>
      </c>
      <c r="H5" s="8">
        <v>7602</v>
      </c>
      <c r="I5" s="8">
        <v>333.08882838332011</v>
      </c>
      <c r="K5" s="6">
        <v>0.2886286144995856</v>
      </c>
    </row>
    <row r="7" spans="1:12" x14ac:dyDescent="0.2">
      <c r="C7" s="2" t="s">
        <v>14</v>
      </c>
    </row>
    <row r="9" spans="1:12" x14ac:dyDescent="0.2">
      <c r="A9" s="2" t="str">
        <f t="shared" si="0"/>
        <v>Peri</v>
      </c>
      <c r="B9" s="2" t="str">
        <f t="shared" si="1"/>
        <v>ame</v>
      </c>
      <c r="C9" s="1" t="s">
        <v>0</v>
      </c>
      <c r="D9" s="3" t="s">
        <v>1</v>
      </c>
      <c r="E9" s="3" t="s">
        <v>2</v>
      </c>
      <c r="F9" s="7" t="s">
        <v>3</v>
      </c>
      <c r="G9" s="7" t="s">
        <v>4</v>
      </c>
      <c r="H9" s="7" t="s">
        <v>5</v>
      </c>
      <c r="I9" s="7" t="s">
        <v>6</v>
      </c>
      <c r="J9" s="7" t="s">
        <v>7</v>
      </c>
      <c r="K9" s="5" t="s">
        <v>8</v>
      </c>
      <c r="L9" s="5" t="s">
        <v>9</v>
      </c>
    </row>
    <row r="10" spans="1:12" x14ac:dyDescent="0.2">
      <c r="A10" s="2" t="str">
        <f t="shared" si="0"/>
        <v>2020</v>
      </c>
      <c r="B10" s="2" t="str">
        <f t="shared" si="1"/>
        <v>APR</v>
      </c>
      <c r="C10" s="2" t="s">
        <v>15</v>
      </c>
      <c r="D10" s="4">
        <v>2645.3622</v>
      </c>
      <c r="E10" s="4">
        <v>0</v>
      </c>
      <c r="F10" s="8">
        <v>5</v>
      </c>
      <c r="G10" s="8">
        <v>0</v>
      </c>
      <c r="H10" s="8">
        <v>5</v>
      </c>
      <c r="I10" s="8">
        <v>529.07244000000003</v>
      </c>
      <c r="K10" s="6">
        <v>0.20825429500731499</v>
      </c>
    </row>
    <row r="11" spans="1:12" x14ac:dyDescent="0.2">
      <c r="A11" s="2" t="str">
        <f t="shared" si="0"/>
        <v>2020</v>
      </c>
      <c r="B11" s="2" t="str">
        <f t="shared" si="1"/>
        <v>MAY</v>
      </c>
      <c r="C11" s="2" t="s">
        <v>16</v>
      </c>
      <c r="D11" s="4">
        <v>55084.480869999999</v>
      </c>
      <c r="E11" s="4">
        <v>0</v>
      </c>
      <c r="F11" s="8">
        <v>109</v>
      </c>
      <c r="G11" s="8">
        <v>0</v>
      </c>
      <c r="H11" s="8">
        <v>109</v>
      </c>
      <c r="I11" s="8">
        <v>505.36220981651383</v>
      </c>
      <c r="K11" s="6">
        <v>0.34468741939874797</v>
      </c>
    </row>
    <row r="12" spans="1:12" x14ac:dyDescent="0.2">
      <c r="A12" s="2" t="str">
        <f t="shared" si="0"/>
        <v>2020</v>
      </c>
      <c r="B12" s="2" t="str">
        <f t="shared" si="1"/>
        <v>JUN</v>
      </c>
      <c r="C12" s="2" t="s">
        <v>17</v>
      </c>
      <c r="D12" s="4">
        <v>1087926.4276999999</v>
      </c>
      <c r="E12" s="4">
        <v>0</v>
      </c>
      <c r="F12" s="8">
        <v>3249</v>
      </c>
      <c r="G12" s="8">
        <v>0</v>
      </c>
      <c r="H12" s="8">
        <v>3249</v>
      </c>
      <c r="I12" s="8">
        <v>334.84962379193593</v>
      </c>
      <c r="K12" s="6">
        <v>0.26640120711353898</v>
      </c>
    </row>
    <row r="13" spans="1:12" x14ac:dyDescent="0.2">
      <c r="A13" s="2" t="str">
        <f t="shared" si="0"/>
        <v>2020</v>
      </c>
      <c r="B13" s="2" t="str">
        <f t="shared" si="1"/>
        <v>JUL</v>
      </c>
      <c r="C13" s="2" t="s">
        <v>18</v>
      </c>
      <c r="D13" s="4">
        <v>1041346.71546</v>
      </c>
      <c r="E13" s="4">
        <v>0</v>
      </c>
      <c r="F13" s="8">
        <v>3110</v>
      </c>
      <c r="G13" s="8">
        <v>0</v>
      </c>
      <c r="H13" s="8">
        <v>3110</v>
      </c>
      <c r="I13" s="8">
        <v>334.83817217363338</v>
      </c>
      <c r="K13" s="6">
        <v>0.32110919461851828</v>
      </c>
    </row>
    <row r="14" spans="1:12" x14ac:dyDescent="0.2">
      <c r="A14" s="2" t="str">
        <f t="shared" si="0"/>
        <v>2020</v>
      </c>
      <c r="B14" s="2" t="str">
        <f t="shared" si="1"/>
        <v>AUG</v>
      </c>
      <c r="C14" s="2" t="s">
        <v>19</v>
      </c>
      <c r="D14" s="4">
        <v>1057330.82122</v>
      </c>
      <c r="E14" s="4">
        <v>0</v>
      </c>
      <c r="F14" s="8">
        <v>3305</v>
      </c>
      <c r="G14" s="8">
        <v>0</v>
      </c>
      <c r="H14" s="8">
        <v>3305</v>
      </c>
      <c r="I14" s="8">
        <v>319.91855407564287</v>
      </c>
      <c r="K14" s="6">
        <v>0.3195267529893599</v>
      </c>
    </row>
    <row r="15" spans="1:12" x14ac:dyDescent="0.2">
      <c r="A15" s="2" t="str">
        <f t="shared" si="0"/>
        <v>2020</v>
      </c>
      <c r="B15" s="2" t="str">
        <f t="shared" si="1"/>
        <v>SEP</v>
      </c>
      <c r="C15" s="2" t="s">
        <v>20</v>
      </c>
      <c r="D15" s="4">
        <v>843248.52415999991</v>
      </c>
      <c r="E15" s="4">
        <v>0</v>
      </c>
      <c r="F15" s="8">
        <v>2162</v>
      </c>
      <c r="G15" s="8">
        <v>0</v>
      </c>
      <c r="H15" s="8">
        <v>2162</v>
      </c>
      <c r="I15" s="8">
        <v>390.03169480111012</v>
      </c>
      <c r="K15" s="6">
        <v>0.28799783786389449</v>
      </c>
    </row>
    <row r="16" spans="1:12" x14ac:dyDescent="0.2">
      <c r="A16" s="2" t="str">
        <f t="shared" si="0"/>
        <v>2020</v>
      </c>
      <c r="B16" s="2" t="str">
        <f t="shared" si="1"/>
        <v>OCT</v>
      </c>
      <c r="C16" s="2" t="s">
        <v>21</v>
      </c>
      <c r="D16" s="4">
        <v>1120041.1350400001</v>
      </c>
      <c r="E16" s="4">
        <v>0</v>
      </c>
      <c r="F16" s="8">
        <v>2751</v>
      </c>
      <c r="G16" s="8">
        <v>0</v>
      </c>
      <c r="H16" s="8">
        <v>2751</v>
      </c>
      <c r="I16" s="8">
        <v>407.13963469283902</v>
      </c>
      <c r="K16" s="6">
        <v>0.26397944796861489</v>
      </c>
    </row>
    <row r="17" spans="1:12" x14ac:dyDescent="0.2">
      <c r="A17" s="2" t="str">
        <f t="shared" si="0"/>
        <v>2020</v>
      </c>
      <c r="B17" s="2" t="str">
        <f t="shared" si="1"/>
        <v>NOV</v>
      </c>
      <c r="C17" s="2" t="s">
        <v>22</v>
      </c>
      <c r="D17" s="4">
        <v>2632346.4175800001</v>
      </c>
      <c r="E17" s="4">
        <v>0</v>
      </c>
      <c r="F17" s="8">
        <v>7712</v>
      </c>
      <c r="G17" s="8">
        <v>0</v>
      </c>
      <c r="H17" s="8">
        <v>7712</v>
      </c>
      <c r="I17" s="8">
        <v>341.33122634595429</v>
      </c>
      <c r="K17" s="6">
        <v>0.24979802769443649</v>
      </c>
    </row>
    <row r="18" spans="1:12" x14ac:dyDescent="0.2">
      <c r="A18" s="2" t="str">
        <f t="shared" si="0"/>
        <v>2020</v>
      </c>
      <c r="B18" s="2" t="str">
        <f t="shared" si="1"/>
        <v>DEC</v>
      </c>
      <c r="C18" s="2" t="s">
        <v>23</v>
      </c>
      <c r="D18" s="4">
        <v>2602909.221020001</v>
      </c>
      <c r="E18" s="4">
        <v>0</v>
      </c>
      <c r="F18" s="8">
        <v>7440</v>
      </c>
      <c r="G18" s="8">
        <v>0</v>
      </c>
      <c r="H18" s="8">
        <v>7440</v>
      </c>
      <c r="I18" s="8">
        <v>349.85338992204311</v>
      </c>
      <c r="K18" s="6">
        <v>0.28340488894996008</v>
      </c>
    </row>
    <row r="19" spans="1:12" x14ac:dyDescent="0.2">
      <c r="A19" s="2" t="str">
        <f t="shared" si="0"/>
        <v>2021</v>
      </c>
      <c r="B19" s="2" t="str">
        <f t="shared" si="1"/>
        <v>JAN</v>
      </c>
      <c r="C19" s="2" t="s">
        <v>24</v>
      </c>
      <c r="D19" s="4">
        <v>758888.80662000005</v>
      </c>
      <c r="E19" s="4">
        <v>839217.07888000028</v>
      </c>
      <c r="F19" s="8">
        <v>2333</v>
      </c>
      <c r="G19" s="8">
        <v>2288</v>
      </c>
      <c r="H19" s="8">
        <v>45</v>
      </c>
      <c r="I19" s="8">
        <v>325.28452919845688</v>
      </c>
      <c r="J19" s="8">
        <v>366.79068132867138</v>
      </c>
      <c r="K19" s="6">
        <v>0.3657576121807104</v>
      </c>
      <c r="L19" s="6">
        <v>0.26900679233231062</v>
      </c>
    </row>
    <row r="20" spans="1:12" x14ac:dyDescent="0.2">
      <c r="A20" s="2" t="str">
        <f t="shared" si="0"/>
        <v>2021</v>
      </c>
      <c r="B20" s="2" t="str">
        <f t="shared" si="1"/>
        <v>FEB</v>
      </c>
      <c r="C20" s="2" t="s">
        <v>25</v>
      </c>
      <c r="D20" s="4">
        <v>578486.44266999955</v>
      </c>
      <c r="E20" s="4">
        <v>770072.6942200003</v>
      </c>
      <c r="F20" s="8">
        <v>1775</v>
      </c>
      <c r="G20" s="8">
        <v>2239</v>
      </c>
      <c r="H20" s="8">
        <v>-464</v>
      </c>
      <c r="I20" s="8">
        <v>325.90785502535192</v>
      </c>
      <c r="J20" s="8">
        <v>343.9359956319787</v>
      </c>
      <c r="K20" s="6">
        <v>0.31340245635354069</v>
      </c>
      <c r="L20" s="6">
        <v>0.3143632992924178</v>
      </c>
    </row>
    <row r="21" spans="1:12" x14ac:dyDescent="0.2">
      <c r="A21" s="2" t="str">
        <f t="shared" si="0"/>
        <v>2021</v>
      </c>
      <c r="B21" s="2" t="str">
        <f t="shared" si="1"/>
        <v>MAR</v>
      </c>
      <c r="C21" s="2" t="s">
        <v>26</v>
      </c>
      <c r="D21" s="4">
        <v>837809.62267000019</v>
      </c>
      <c r="E21" s="4">
        <v>922851.50026999996</v>
      </c>
      <c r="F21" s="8">
        <v>2414</v>
      </c>
      <c r="G21" s="8">
        <v>3075</v>
      </c>
      <c r="H21" s="8">
        <v>-661</v>
      </c>
      <c r="I21" s="8">
        <v>347.06280972245241</v>
      </c>
      <c r="J21" s="8">
        <v>300.11430903089428</v>
      </c>
      <c r="K21" s="6">
        <v>0.23083371350364079</v>
      </c>
      <c r="L21" s="6">
        <v>0.28499790059727981</v>
      </c>
    </row>
    <row r="22" spans="1:12" x14ac:dyDescent="0.2">
      <c r="A22" s="2" t="str">
        <f t="shared" si="0"/>
        <v>Tota</v>
      </c>
      <c r="B22" s="2" t="str">
        <f t="shared" si="1"/>
        <v>tal</v>
      </c>
      <c r="C22" s="2" t="s">
        <v>13</v>
      </c>
      <c r="D22" s="4">
        <v>12618063.97721</v>
      </c>
      <c r="E22" s="4">
        <v>2532141.273370001</v>
      </c>
      <c r="F22" s="8">
        <v>36365</v>
      </c>
      <c r="G22" s="8">
        <v>7602</v>
      </c>
      <c r="H22" s="8">
        <v>28763</v>
      </c>
      <c r="I22" s="8">
        <v>346.98374748274438</v>
      </c>
      <c r="J22" s="8">
        <v>333.08882838332028</v>
      </c>
      <c r="K22" s="6">
        <v>0.28273839120990413</v>
      </c>
      <c r="L22" s="6">
        <v>0.28862861449958621</v>
      </c>
    </row>
    <row r="24" spans="1:12" x14ac:dyDescent="0.2">
      <c r="C24" s="2" t="s">
        <v>27</v>
      </c>
    </row>
    <row r="26" spans="1:12" x14ac:dyDescent="0.2">
      <c r="A26" s="2" t="str">
        <f t="shared" si="0"/>
        <v>Peri</v>
      </c>
      <c r="B26" s="2" t="str">
        <f t="shared" si="1"/>
        <v>ame</v>
      </c>
      <c r="C26" s="1" t="s">
        <v>0</v>
      </c>
      <c r="D26" s="3" t="s">
        <v>1</v>
      </c>
      <c r="E26" s="3" t="s">
        <v>2</v>
      </c>
      <c r="F26" s="7" t="s">
        <v>3</v>
      </c>
      <c r="G26" s="7" t="s">
        <v>4</v>
      </c>
      <c r="H26" s="7" t="s">
        <v>5</v>
      </c>
      <c r="I26" s="7" t="s">
        <v>6</v>
      </c>
      <c r="J26" s="7" t="s">
        <v>7</v>
      </c>
      <c r="K26" s="5" t="s">
        <v>8</v>
      </c>
      <c r="L26" s="5" t="s">
        <v>9</v>
      </c>
    </row>
    <row r="27" spans="1:12" x14ac:dyDescent="0.2">
      <c r="A27" s="2" t="str">
        <f t="shared" si="0"/>
        <v>2021</v>
      </c>
      <c r="B27" s="2" t="str">
        <f t="shared" si="1"/>
        <v>APR</v>
      </c>
      <c r="C27" s="2" t="s">
        <v>28</v>
      </c>
      <c r="D27" s="4">
        <v>821710.73416999984</v>
      </c>
      <c r="E27" s="4">
        <v>2645.3622</v>
      </c>
      <c r="F27" s="8">
        <v>2223</v>
      </c>
      <c r="G27" s="8">
        <v>5</v>
      </c>
      <c r="H27" s="8">
        <v>2218</v>
      </c>
      <c r="I27" s="8">
        <v>369.64045621682402</v>
      </c>
      <c r="J27" s="8">
        <v>529.07244000000003</v>
      </c>
      <c r="K27" s="6">
        <v>0.24005115818432399</v>
      </c>
      <c r="L27" s="6">
        <v>0.20825429500731499</v>
      </c>
    </row>
    <row r="28" spans="1:12" x14ac:dyDescent="0.2">
      <c r="A28" s="2" t="str">
        <f t="shared" si="0"/>
        <v>2021</v>
      </c>
      <c r="B28" s="2" t="str">
        <f t="shared" si="1"/>
        <v>MAY</v>
      </c>
      <c r="C28" s="2" t="s">
        <v>29</v>
      </c>
      <c r="D28" s="4">
        <v>128608.91174</v>
      </c>
      <c r="E28" s="4">
        <v>55084.480869999999</v>
      </c>
      <c r="F28" s="8">
        <v>316</v>
      </c>
      <c r="G28" s="8">
        <v>109</v>
      </c>
      <c r="H28" s="8">
        <v>207</v>
      </c>
      <c r="I28" s="8">
        <v>406.99022702531653</v>
      </c>
      <c r="J28" s="8">
        <v>505.36220981651383</v>
      </c>
      <c r="K28" s="6">
        <v>0.25128270010816589</v>
      </c>
      <c r="L28" s="6">
        <v>0.34468741939874792</v>
      </c>
    </row>
    <row r="29" spans="1:12" x14ac:dyDescent="0.2">
      <c r="A29" s="2" t="str">
        <f t="shared" si="0"/>
        <v>2021</v>
      </c>
      <c r="B29" s="2" t="str">
        <f t="shared" si="1"/>
        <v>JUN</v>
      </c>
      <c r="C29" s="2" t="s">
        <v>30</v>
      </c>
      <c r="D29" s="4">
        <v>6499.1008399999992</v>
      </c>
      <c r="E29" s="4">
        <v>1087926.4276999999</v>
      </c>
      <c r="F29" s="8">
        <v>12</v>
      </c>
      <c r="G29" s="8">
        <v>3249</v>
      </c>
      <c r="H29" s="8">
        <v>-3237</v>
      </c>
      <c r="I29" s="8">
        <v>541.59173666666663</v>
      </c>
      <c r="J29" s="8">
        <v>334.84962379193593</v>
      </c>
      <c r="K29" s="6">
        <v>0.14089490108604011</v>
      </c>
      <c r="L29" s="6">
        <v>0.2664012071135386</v>
      </c>
    </row>
    <row r="30" spans="1:12" x14ac:dyDescent="0.2">
      <c r="A30" s="2" t="str">
        <f t="shared" si="0"/>
        <v>2021</v>
      </c>
      <c r="B30" s="2" t="str">
        <f t="shared" si="1"/>
        <v>JUL</v>
      </c>
      <c r="C30" s="2" t="s">
        <v>31</v>
      </c>
      <c r="D30" s="4">
        <v>-247.5689800000001</v>
      </c>
      <c r="E30" s="4">
        <v>1041346.715460001</v>
      </c>
      <c r="F30" s="8">
        <v>-1</v>
      </c>
      <c r="G30" s="8">
        <v>3110</v>
      </c>
      <c r="H30" s="8">
        <v>-3111</v>
      </c>
      <c r="I30" s="8">
        <v>247.5689800000001</v>
      </c>
      <c r="J30" s="8">
        <v>334.83817217363361</v>
      </c>
      <c r="K30" s="6">
        <v>0.18451217111287541</v>
      </c>
      <c r="L30" s="6">
        <v>0.32110919461851878</v>
      </c>
    </row>
    <row r="31" spans="1:12" x14ac:dyDescent="0.2">
      <c r="A31" s="2" t="str">
        <f t="shared" si="0"/>
        <v>2021</v>
      </c>
      <c r="B31" s="2" t="str">
        <f t="shared" si="1"/>
        <v>AUG</v>
      </c>
      <c r="C31" s="2" t="s">
        <v>32</v>
      </c>
      <c r="D31" s="4">
        <v>1315158.8628</v>
      </c>
      <c r="E31" s="4">
        <v>1057330.82122</v>
      </c>
      <c r="F31" s="8">
        <v>3199</v>
      </c>
      <c r="G31" s="8">
        <v>3305</v>
      </c>
      <c r="H31" s="8">
        <v>-106</v>
      </c>
      <c r="I31" s="8">
        <v>411.11561825570499</v>
      </c>
      <c r="J31" s="8">
        <v>319.91855407564287</v>
      </c>
      <c r="K31" s="6">
        <v>0.16972768752419959</v>
      </c>
      <c r="L31" s="6">
        <v>0.31952675298936001</v>
      </c>
    </row>
    <row r="32" spans="1:12" x14ac:dyDescent="0.2">
      <c r="A32" s="2" t="str">
        <f t="shared" si="0"/>
        <v>2021</v>
      </c>
      <c r="B32" s="2" t="str">
        <f t="shared" si="1"/>
        <v>SEP</v>
      </c>
      <c r="C32" s="2" t="s">
        <v>33</v>
      </c>
      <c r="D32" s="4">
        <v>1385471.4296499989</v>
      </c>
      <c r="E32" s="4">
        <v>843248.52415999968</v>
      </c>
      <c r="F32" s="8">
        <v>3224</v>
      </c>
      <c r="G32" s="8">
        <v>2162</v>
      </c>
      <c r="H32" s="8">
        <v>1062</v>
      </c>
      <c r="I32" s="8">
        <v>429.73679579714621</v>
      </c>
      <c r="J32" s="8">
        <v>390.03169480110989</v>
      </c>
      <c r="K32" s="6">
        <v>0.20275462163154351</v>
      </c>
      <c r="L32" s="6">
        <v>0.28799783786389432</v>
      </c>
    </row>
    <row r="33" spans="1:12" x14ac:dyDescent="0.2">
      <c r="A33" s="2" t="str">
        <f t="shared" si="0"/>
        <v>2021</v>
      </c>
      <c r="B33" s="2" t="str">
        <f t="shared" si="1"/>
        <v>OCT</v>
      </c>
      <c r="C33" s="2" t="s">
        <v>34</v>
      </c>
      <c r="D33" s="4">
        <v>1365228.7964000001</v>
      </c>
      <c r="E33" s="4">
        <v>1120041.135040001</v>
      </c>
      <c r="F33" s="8">
        <v>2966</v>
      </c>
      <c r="G33" s="8">
        <v>2751</v>
      </c>
      <c r="H33" s="8">
        <v>215</v>
      </c>
      <c r="I33" s="8">
        <v>460.29291854349287</v>
      </c>
      <c r="J33" s="8">
        <v>407.13963469283908</v>
      </c>
      <c r="K33" s="6">
        <v>0.2198993358268132</v>
      </c>
      <c r="L33" s="6">
        <v>0.26397944796861528</v>
      </c>
    </row>
    <row r="34" spans="1:12" x14ac:dyDescent="0.2">
      <c r="A34" s="2" t="str">
        <f t="shared" si="0"/>
        <v>2021</v>
      </c>
      <c r="B34" s="2" t="str">
        <f t="shared" si="1"/>
        <v>NOV</v>
      </c>
      <c r="C34" s="2" t="s">
        <v>35</v>
      </c>
      <c r="D34" s="4">
        <v>2364961.2696600012</v>
      </c>
      <c r="E34" s="4">
        <v>2632346.4175800011</v>
      </c>
      <c r="F34" s="8">
        <v>4949</v>
      </c>
      <c r="G34" s="8">
        <v>7712</v>
      </c>
      <c r="H34" s="8">
        <v>-2763</v>
      </c>
      <c r="I34" s="8">
        <v>477.86649215195001</v>
      </c>
      <c r="J34" s="8">
        <v>341.33122634595452</v>
      </c>
      <c r="K34" s="6">
        <v>0.12562161128021851</v>
      </c>
      <c r="L34" s="6">
        <v>0.24979802769443701</v>
      </c>
    </row>
    <row r="35" spans="1:12" x14ac:dyDescent="0.2">
      <c r="A35" s="2" t="str">
        <f t="shared" si="0"/>
        <v>2021</v>
      </c>
      <c r="B35" s="2" t="str">
        <f t="shared" si="1"/>
        <v>DEC</v>
      </c>
      <c r="C35" s="2" t="s">
        <v>36</v>
      </c>
      <c r="D35" s="4">
        <v>2448585.1149900001</v>
      </c>
      <c r="E35" s="4">
        <v>2602909.2210199991</v>
      </c>
      <c r="F35" s="8">
        <v>4910</v>
      </c>
      <c r="G35" s="8">
        <v>7440</v>
      </c>
      <c r="H35" s="8">
        <v>-2530</v>
      </c>
      <c r="I35" s="8">
        <v>498.69350610794288</v>
      </c>
      <c r="J35" s="8">
        <v>349.85338992204288</v>
      </c>
      <c r="K35" s="6">
        <v>0.11435023741094009</v>
      </c>
      <c r="L35" s="6">
        <v>0.28340488894995991</v>
      </c>
    </row>
    <row r="36" spans="1:12" x14ac:dyDescent="0.2">
      <c r="A36" s="2" t="str">
        <f t="shared" si="0"/>
        <v>2022</v>
      </c>
      <c r="B36" s="2" t="str">
        <f t="shared" si="1"/>
        <v>JAN</v>
      </c>
      <c r="C36" s="2" t="s">
        <v>37</v>
      </c>
      <c r="D36" s="4">
        <v>694615.64894999983</v>
      </c>
      <c r="E36" s="4">
        <v>758888.80661999993</v>
      </c>
      <c r="F36" s="8">
        <v>1548</v>
      </c>
      <c r="G36" s="8">
        <v>2333</v>
      </c>
      <c r="H36" s="8">
        <v>-785</v>
      </c>
      <c r="I36" s="8">
        <v>448.71811947674411</v>
      </c>
      <c r="J36" s="8">
        <v>325.28452919845688</v>
      </c>
      <c r="K36" s="6">
        <v>0.1497870349124388</v>
      </c>
      <c r="L36" s="6">
        <v>0.36575761218071018</v>
      </c>
    </row>
    <row r="37" spans="1:12" x14ac:dyDescent="0.2">
      <c r="A37" s="2" t="str">
        <f t="shared" si="0"/>
        <v>2022</v>
      </c>
      <c r="B37" s="2" t="str">
        <f t="shared" si="1"/>
        <v>FEB</v>
      </c>
      <c r="C37" s="2" t="s">
        <v>38</v>
      </c>
      <c r="D37" s="4">
        <v>627009.62891999993</v>
      </c>
      <c r="E37" s="4">
        <v>578486.44266999979</v>
      </c>
      <c r="F37" s="8">
        <v>1471</v>
      </c>
      <c r="G37" s="8">
        <v>1775</v>
      </c>
      <c r="H37" s="8">
        <v>-304</v>
      </c>
      <c r="I37" s="8">
        <v>426.24719845003392</v>
      </c>
      <c r="J37" s="8">
        <v>325.90785502535198</v>
      </c>
      <c r="K37" s="6">
        <v>0.1113572474321738</v>
      </c>
      <c r="L37" s="6">
        <v>0.31340245635354108</v>
      </c>
    </row>
    <row r="38" spans="1:12" x14ac:dyDescent="0.2">
      <c r="A38" s="2" t="str">
        <f t="shared" si="0"/>
        <v>2022</v>
      </c>
      <c r="B38" s="2" t="str">
        <f t="shared" si="1"/>
        <v>MAR</v>
      </c>
      <c r="C38" s="2" t="s">
        <v>39</v>
      </c>
      <c r="D38" s="4">
        <v>716243.46472999989</v>
      </c>
      <c r="E38" s="4">
        <v>837809.62266999984</v>
      </c>
      <c r="F38" s="8">
        <v>1516</v>
      </c>
      <c r="G38" s="8">
        <v>2414</v>
      </c>
      <c r="H38" s="8">
        <v>-898</v>
      </c>
      <c r="I38" s="8">
        <v>472.45611129947218</v>
      </c>
      <c r="J38" s="8">
        <v>347.0628097224523</v>
      </c>
      <c r="K38" s="6">
        <v>0.15592783445793881</v>
      </c>
      <c r="L38" s="6">
        <v>0.23083371350364021</v>
      </c>
    </row>
    <row r="39" spans="1:12" x14ac:dyDescent="0.2">
      <c r="A39" s="2" t="str">
        <f t="shared" si="0"/>
        <v>Tota</v>
      </c>
      <c r="B39" s="2" t="str">
        <f t="shared" si="1"/>
        <v>tal</v>
      </c>
      <c r="C39" s="2" t="s">
        <v>13</v>
      </c>
      <c r="D39" s="4">
        <v>11873845.39387</v>
      </c>
      <c r="E39" s="4">
        <v>12618063.97721</v>
      </c>
      <c r="F39" s="8">
        <v>26333</v>
      </c>
      <c r="G39" s="8">
        <v>36365</v>
      </c>
      <c r="H39" s="8">
        <v>-10032</v>
      </c>
      <c r="I39" s="8">
        <v>450.91122902327868</v>
      </c>
      <c r="J39" s="8">
        <v>346.98374748274438</v>
      </c>
      <c r="K39" s="6">
        <v>0.15979807561411929</v>
      </c>
      <c r="L39" s="6">
        <v>0.28273839120990413</v>
      </c>
    </row>
    <row r="41" spans="1:12" x14ac:dyDescent="0.2">
      <c r="C41" s="2" t="s">
        <v>40</v>
      </c>
    </row>
    <row r="43" spans="1:12" x14ac:dyDescent="0.2">
      <c r="A43" s="2" t="str">
        <f t="shared" si="0"/>
        <v>Peri</v>
      </c>
      <c r="B43" s="2" t="str">
        <f t="shared" si="1"/>
        <v>ame</v>
      </c>
      <c r="C43" s="1" t="s">
        <v>0</v>
      </c>
      <c r="D43" s="3" t="s">
        <v>1</v>
      </c>
      <c r="E43" s="3" t="s">
        <v>2</v>
      </c>
      <c r="F43" s="7" t="s">
        <v>3</v>
      </c>
      <c r="G43" s="7" t="s">
        <v>4</v>
      </c>
      <c r="H43" s="7" t="s">
        <v>5</v>
      </c>
      <c r="I43" s="7" t="s">
        <v>6</v>
      </c>
      <c r="J43" s="7" t="s">
        <v>7</v>
      </c>
      <c r="K43" s="5" t="s">
        <v>8</v>
      </c>
      <c r="L43" s="5" t="s">
        <v>9</v>
      </c>
    </row>
    <row r="44" spans="1:12" x14ac:dyDescent="0.2">
      <c r="A44" s="2" t="str">
        <f t="shared" si="0"/>
        <v>2022</v>
      </c>
      <c r="B44" s="2" t="str">
        <f t="shared" si="1"/>
        <v>APR</v>
      </c>
      <c r="C44" s="2" t="s">
        <v>41</v>
      </c>
      <c r="D44" s="4">
        <v>682930.43553999974</v>
      </c>
      <c r="E44" s="4">
        <v>821710.73417000007</v>
      </c>
      <c r="F44" s="8">
        <v>1340</v>
      </c>
      <c r="G44" s="8">
        <v>2223</v>
      </c>
      <c r="H44" s="8">
        <v>-883</v>
      </c>
      <c r="I44" s="8">
        <v>509.64957876119382</v>
      </c>
      <c r="J44" s="8">
        <v>369.64045621682408</v>
      </c>
      <c r="K44" s="6">
        <v>0.22734592670076689</v>
      </c>
      <c r="L44" s="6">
        <v>0.2400511581843244</v>
      </c>
    </row>
    <row r="45" spans="1:12" x14ac:dyDescent="0.2">
      <c r="A45" s="2" t="str">
        <f t="shared" si="0"/>
        <v>2022</v>
      </c>
      <c r="B45" s="2" t="str">
        <f t="shared" si="1"/>
        <v>MAY</v>
      </c>
      <c r="C45" s="2" t="s">
        <v>42</v>
      </c>
      <c r="D45" s="4">
        <v>772080.90284999984</v>
      </c>
      <c r="E45" s="4">
        <v>128608.91174</v>
      </c>
      <c r="F45" s="8">
        <v>1445</v>
      </c>
      <c r="G45" s="8">
        <v>316</v>
      </c>
      <c r="H45" s="8">
        <v>1129</v>
      </c>
      <c r="I45" s="8">
        <v>534.31204349480959</v>
      </c>
      <c r="J45" s="8">
        <v>406.99022702531641</v>
      </c>
      <c r="K45" s="6">
        <v>0.20875759742928601</v>
      </c>
      <c r="L45" s="6">
        <v>0.25128270010816578</v>
      </c>
    </row>
    <row r="46" spans="1:12" x14ac:dyDescent="0.2">
      <c r="A46" s="2" t="str">
        <f t="shared" si="0"/>
        <v>2022</v>
      </c>
      <c r="B46" s="2" t="str">
        <f t="shared" si="1"/>
        <v>JUN</v>
      </c>
      <c r="C46" s="2" t="s">
        <v>43</v>
      </c>
      <c r="D46" s="4">
        <v>1066634.4076400001</v>
      </c>
      <c r="E46" s="4">
        <v>6499.1008399999992</v>
      </c>
      <c r="F46" s="8">
        <v>2075</v>
      </c>
      <c r="G46" s="8">
        <v>12</v>
      </c>
      <c r="H46" s="8">
        <v>2063</v>
      </c>
      <c r="I46" s="8">
        <v>514.04067838072308</v>
      </c>
      <c r="J46" s="8">
        <v>541.59173666666663</v>
      </c>
      <c r="K46" s="6">
        <v>0.2146771939193661</v>
      </c>
      <c r="L46" s="6">
        <v>0.14089490108604011</v>
      </c>
    </row>
    <row r="47" spans="1:12" x14ac:dyDescent="0.2">
      <c r="A47" s="2" t="str">
        <f t="shared" si="0"/>
        <v>2022</v>
      </c>
      <c r="B47" s="2" t="str">
        <f t="shared" si="1"/>
        <v>JUL</v>
      </c>
      <c r="C47" s="2" t="s">
        <v>44</v>
      </c>
      <c r="D47" s="4">
        <v>1136347.1354</v>
      </c>
      <c r="E47" s="4">
        <v>-247.56898000000001</v>
      </c>
      <c r="F47" s="8">
        <v>2058</v>
      </c>
      <c r="G47" s="8">
        <v>-1</v>
      </c>
      <c r="H47" s="8">
        <v>2059</v>
      </c>
      <c r="I47" s="8">
        <v>552.16090155490792</v>
      </c>
      <c r="J47" s="8">
        <v>247.56898000000001</v>
      </c>
      <c r="K47" s="6">
        <v>0.26216619833791721</v>
      </c>
      <c r="L47" s="6">
        <v>0.1845121711128751</v>
      </c>
    </row>
    <row r="48" spans="1:12" x14ac:dyDescent="0.2">
      <c r="A48" s="2" t="str">
        <f t="shared" si="0"/>
        <v>2022</v>
      </c>
      <c r="B48" s="2" t="str">
        <f t="shared" si="1"/>
        <v>AUG</v>
      </c>
      <c r="C48" s="2" t="s">
        <v>45</v>
      </c>
      <c r="D48" s="4">
        <v>1093106.6003399999</v>
      </c>
      <c r="E48" s="4">
        <v>1315158.8628</v>
      </c>
      <c r="F48" s="8">
        <v>2301</v>
      </c>
      <c r="G48" s="8">
        <v>3199</v>
      </c>
      <c r="H48" s="8">
        <v>-898</v>
      </c>
      <c r="I48" s="8">
        <v>475.05719267275089</v>
      </c>
      <c r="J48" s="8">
        <v>411.11561825570499</v>
      </c>
      <c r="K48" s="6">
        <v>0.26920470627335941</v>
      </c>
      <c r="L48" s="6">
        <v>0.16972768752419939</v>
      </c>
    </row>
    <row r="49" spans="1:12" x14ac:dyDescent="0.2">
      <c r="A49" s="2" t="str">
        <f t="shared" si="0"/>
        <v>2022</v>
      </c>
      <c r="B49" s="2" t="str">
        <f t="shared" si="1"/>
        <v>SEP</v>
      </c>
      <c r="C49" s="2" t="s">
        <v>46</v>
      </c>
      <c r="D49" s="4">
        <v>1077083.4524600001</v>
      </c>
      <c r="E49" s="4">
        <v>1385471.4296500001</v>
      </c>
      <c r="F49" s="8">
        <v>2120</v>
      </c>
      <c r="G49" s="8">
        <v>3224</v>
      </c>
      <c r="H49" s="8">
        <v>-1104</v>
      </c>
      <c r="I49" s="8">
        <v>508.05823229245277</v>
      </c>
      <c r="J49" s="8">
        <v>429.73679579714633</v>
      </c>
      <c r="K49" s="6">
        <v>0.2282143945379464</v>
      </c>
      <c r="L49" s="6">
        <v>0.20275462163154401</v>
      </c>
    </row>
    <row r="50" spans="1:12" x14ac:dyDescent="0.2">
      <c r="A50" s="2" t="str">
        <f t="shared" si="0"/>
        <v>2022</v>
      </c>
      <c r="B50" s="2" t="str">
        <f t="shared" si="1"/>
        <v>OCT</v>
      </c>
      <c r="C50" s="2" t="s">
        <v>47</v>
      </c>
      <c r="D50" s="4">
        <v>1306622.3293099999</v>
      </c>
      <c r="E50" s="4">
        <v>1365228.7964000001</v>
      </c>
      <c r="F50" s="8">
        <v>2470</v>
      </c>
      <c r="G50" s="8">
        <v>2966</v>
      </c>
      <c r="H50" s="8">
        <v>-496</v>
      </c>
      <c r="I50" s="8">
        <v>528.99689445749004</v>
      </c>
      <c r="J50" s="8">
        <v>460.29291854349299</v>
      </c>
      <c r="K50" s="6">
        <v>0.23596928577886689</v>
      </c>
      <c r="L50" s="6">
        <v>0.21989933582681359</v>
      </c>
    </row>
    <row r="51" spans="1:12" x14ac:dyDescent="0.2">
      <c r="A51" s="2" t="str">
        <f t="shared" si="0"/>
        <v>2022</v>
      </c>
      <c r="B51" s="2" t="str">
        <f t="shared" si="1"/>
        <v>NOV</v>
      </c>
      <c r="C51" s="2" t="s">
        <v>48</v>
      </c>
      <c r="D51" s="4">
        <v>3102464.598890001</v>
      </c>
      <c r="E51" s="4">
        <v>2364961.2696600012</v>
      </c>
      <c r="F51" s="8">
        <v>6764</v>
      </c>
      <c r="G51" s="8">
        <v>4949</v>
      </c>
      <c r="H51" s="8">
        <v>1815</v>
      </c>
      <c r="I51" s="8">
        <v>458.67306311206403</v>
      </c>
      <c r="J51" s="8">
        <v>477.86649215195001</v>
      </c>
      <c r="K51" s="6">
        <v>0.20409535408286261</v>
      </c>
      <c r="L51" s="6">
        <v>0.12562161128021851</v>
      </c>
    </row>
    <row r="52" spans="1:12" x14ac:dyDescent="0.2">
      <c r="A52" s="2" t="str">
        <f t="shared" si="0"/>
        <v>2022</v>
      </c>
      <c r="B52" s="2" t="str">
        <f t="shared" si="1"/>
        <v>DEC</v>
      </c>
      <c r="C52" s="2" t="s">
        <v>49</v>
      </c>
      <c r="D52" s="4">
        <v>2312388.9977000002</v>
      </c>
      <c r="E52" s="4">
        <v>2448585.1149900001</v>
      </c>
      <c r="F52" s="8">
        <v>5178</v>
      </c>
      <c r="G52" s="8">
        <v>4910</v>
      </c>
      <c r="H52" s="8">
        <v>268</v>
      </c>
      <c r="I52" s="8">
        <v>446.57956695635391</v>
      </c>
      <c r="J52" s="8">
        <v>498.69350610794288</v>
      </c>
      <c r="K52" s="6">
        <v>0.13283417148045551</v>
      </c>
      <c r="L52" s="6">
        <v>0.1143502374109399</v>
      </c>
    </row>
    <row r="53" spans="1:12" x14ac:dyDescent="0.2">
      <c r="A53" s="2" t="str">
        <f t="shared" si="0"/>
        <v>2023</v>
      </c>
      <c r="B53" s="2" t="str">
        <f t="shared" si="1"/>
        <v>JAN</v>
      </c>
      <c r="C53" s="2" t="s">
        <v>50</v>
      </c>
      <c r="D53" s="4">
        <v>722618.13909000019</v>
      </c>
      <c r="E53" s="4">
        <v>694615.64894999994</v>
      </c>
      <c r="F53" s="8">
        <v>1523</v>
      </c>
      <c r="G53" s="8">
        <v>1548</v>
      </c>
      <c r="H53" s="8">
        <v>-25</v>
      </c>
      <c r="I53" s="8">
        <v>474.47021608010522</v>
      </c>
      <c r="J53" s="8">
        <v>448.71811947674422</v>
      </c>
      <c r="K53" s="6">
        <v>0.35571799056096681</v>
      </c>
      <c r="L53" s="6">
        <v>0.14978703491243889</v>
      </c>
    </row>
    <row r="54" spans="1:12" x14ac:dyDescent="0.2">
      <c r="A54" s="2" t="str">
        <f t="shared" si="0"/>
        <v>2023</v>
      </c>
      <c r="B54" s="2" t="str">
        <f t="shared" si="1"/>
        <v>FEB</v>
      </c>
      <c r="C54" s="2" t="s">
        <v>51</v>
      </c>
      <c r="D54" s="4">
        <v>748170.01368999982</v>
      </c>
      <c r="E54" s="4">
        <v>627009.62892000005</v>
      </c>
      <c r="F54" s="8">
        <v>1985</v>
      </c>
      <c r="G54" s="8">
        <v>1471</v>
      </c>
      <c r="H54" s="8">
        <v>514</v>
      </c>
      <c r="I54" s="8">
        <v>376.91184568765732</v>
      </c>
      <c r="J54" s="8">
        <v>426.24719845003398</v>
      </c>
      <c r="K54" s="6">
        <v>0.33160915398942831</v>
      </c>
      <c r="L54" s="6">
        <v>0.1113572474321738</v>
      </c>
    </row>
    <row r="55" spans="1:12" x14ac:dyDescent="0.2">
      <c r="A55" s="2" t="str">
        <f t="shared" si="0"/>
        <v>2023</v>
      </c>
      <c r="B55" s="2" t="str">
        <f t="shared" si="1"/>
        <v>MAR</v>
      </c>
      <c r="C55" s="2" t="s">
        <v>52</v>
      </c>
      <c r="D55" s="4">
        <v>947547.14949999971</v>
      </c>
      <c r="E55" s="4">
        <v>716243.46472999989</v>
      </c>
      <c r="F55" s="8">
        <v>2495</v>
      </c>
      <c r="G55" s="8">
        <v>1516</v>
      </c>
      <c r="H55" s="8">
        <v>979</v>
      </c>
      <c r="I55" s="8">
        <v>379.77841663326637</v>
      </c>
      <c r="J55" s="8">
        <v>472.45611129947218</v>
      </c>
      <c r="K55" s="6">
        <v>0.31180467981556631</v>
      </c>
      <c r="L55" s="6">
        <v>0.1559278344579389</v>
      </c>
    </row>
    <row r="56" spans="1:12" x14ac:dyDescent="0.2">
      <c r="A56" s="2" t="str">
        <f t="shared" si="0"/>
        <v>Tota</v>
      </c>
      <c r="B56" s="2" t="str">
        <f t="shared" si="1"/>
        <v>tal</v>
      </c>
      <c r="C56" s="2" t="s">
        <v>13</v>
      </c>
      <c r="D56" s="4">
        <v>14967994.16241</v>
      </c>
      <c r="E56" s="4">
        <v>11873845.39387</v>
      </c>
      <c r="F56" s="8">
        <v>31754</v>
      </c>
      <c r="G56" s="8">
        <v>26333</v>
      </c>
      <c r="H56" s="8">
        <v>5421</v>
      </c>
      <c r="I56" s="8">
        <v>471.37350136707192</v>
      </c>
      <c r="J56" s="8">
        <v>450.91122902327879</v>
      </c>
      <c r="K56" s="6">
        <v>0.22933547458822001</v>
      </c>
      <c r="L56" s="6">
        <v>0.15979807561411929</v>
      </c>
    </row>
    <row r="58" spans="1:12" x14ac:dyDescent="0.2">
      <c r="C58" s="2" t="s">
        <v>53</v>
      </c>
    </row>
    <row r="60" spans="1:12" x14ac:dyDescent="0.2">
      <c r="A60" s="2" t="str">
        <f t="shared" si="0"/>
        <v>Peri</v>
      </c>
      <c r="B60" s="2" t="str">
        <f t="shared" si="1"/>
        <v>ame</v>
      </c>
      <c r="C60" s="1" t="s">
        <v>0</v>
      </c>
      <c r="D60" s="3" t="s">
        <v>1</v>
      </c>
      <c r="E60" s="3" t="s">
        <v>2</v>
      </c>
      <c r="F60" s="7" t="s">
        <v>3</v>
      </c>
      <c r="G60" s="7" t="s">
        <v>4</v>
      </c>
      <c r="H60" s="7" t="s">
        <v>5</v>
      </c>
      <c r="I60" s="7" t="s">
        <v>6</v>
      </c>
      <c r="J60" s="7" t="s">
        <v>7</v>
      </c>
      <c r="K60" s="5" t="s">
        <v>8</v>
      </c>
      <c r="L60" s="5" t="s">
        <v>9</v>
      </c>
    </row>
    <row r="61" spans="1:12" x14ac:dyDescent="0.2">
      <c r="A61" s="2" t="str">
        <f t="shared" si="0"/>
        <v>2023</v>
      </c>
      <c r="B61" s="2" t="str">
        <f t="shared" si="1"/>
        <v>APR</v>
      </c>
      <c r="C61" s="2" t="s">
        <v>54</v>
      </c>
      <c r="D61" s="4">
        <v>699086.77592000016</v>
      </c>
      <c r="E61" s="4">
        <v>682930.43554000021</v>
      </c>
      <c r="F61" s="8">
        <v>1515</v>
      </c>
      <c r="G61" s="8">
        <v>1340</v>
      </c>
      <c r="H61" s="8">
        <v>175</v>
      </c>
      <c r="I61" s="8">
        <v>461.44341644884503</v>
      </c>
      <c r="J61" s="8">
        <v>509.64957876119422</v>
      </c>
      <c r="K61" s="6">
        <v>0.35525238992422342</v>
      </c>
      <c r="L61" s="6">
        <v>0.2273459267007675</v>
      </c>
    </row>
    <row r="62" spans="1:12" x14ac:dyDescent="0.2">
      <c r="A62" s="2" t="str">
        <f t="shared" si="0"/>
        <v>2023</v>
      </c>
      <c r="B62" s="2" t="str">
        <f t="shared" si="1"/>
        <v>MAY</v>
      </c>
      <c r="C62" s="2" t="s">
        <v>55</v>
      </c>
      <c r="D62" s="4">
        <v>879431.97353000008</v>
      </c>
      <c r="E62" s="4">
        <v>772080.90284999984</v>
      </c>
      <c r="F62" s="8">
        <v>1801</v>
      </c>
      <c r="G62" s="8">
        <v>1445</v>
      </c>
      <c r="H62" s="8">
        <v>356</v>
      </c>
      <c r="I62" s="8">
        <v>488.30203971682403</v>
      </c>
      <c r="J62" s="8">
        <v>534.31204349480959</v>
      </c>
      <c r="K62" s="6">
        <v>0.26926745378552253</v>
      </c>
      <c r="L62" s="6">
        <v>0.2087575974292861</v>
      </c>
    </row>
    <row r="63" spans="1:12" x14ac:dyDescent="0.2">
      <c r="A63" s="2" t="str">
        <f t="shared" si="0"/>
        <v>2023</v>
      </c>
      <c r="B63" s="2" t="str">
        <f t="shared" si="1"/>
        <v>JUN</v>
      </c>
      <c r="C63" s="2" t="s">
        <v>56</v>
      </c>
      <c r="D63" s="4">
        <v>841068.86342000007</v>
      </c>
      <c r="E63" s="4">
        <v>1066634.4076400001</v>
      </c>
      <c r="F63" s="8">
        <v>1849</v>
      </c>
      <c r="G63" s="8">
        <v>2075</v>
      </c>
      <c r="H63" s="8">
        <v>-226</v>
      </c>
      <c r="I63" s="8">
        <v>454.87769790156852</v>
      </c>
      <c r="J63" s="8">
        <v>514.04067838072308</v>
      </c>
      <c r="K63" s="6">
        <v>0.29469266092214019</v>
      </c>
      <c r="L63" s="6">
        <v>0.21467719391936579</v>
      </c>
    </row>
    <row r="64" spans="1:12" x14ac:dyDescent="0.2">
      <c r="A64" s="2" t="str">
        <f t="shared" si="0"/>
        <v>2023</v>
      </c>
      <c r="B64" s="2" t="str">
        <f t="shared" si="1"/>
        <v>JUL</v>
      </c>
      <c r="C64" s="2" t="s">
        <v>57</v>
      </c>
      <c r="D64" s="4">
        <v>948446.04017000028</v>
      </c>
      <c r="E64" s="4">
        <v>1136347.1354</v>
      </c>
      <c r="F64" s="8">
        <v>1990</v>
      </c>
      <c r="G64" s="8">
        <v>2058</v>
      </c>
      <c r="H64" s="8">
        <v>-68</v>
      </c>
      <c r="I64" s="8">
        <v>476.60605033668361</v>
      </c>
      <c r="J64" s="8">
        <v>552.16090155490792</v>
      </c>
      <c r="K64" s="6">
        <v>0.30060789721774461</v>
      </c>
      <c r="L64" s="6">
        <v>0.2621661983379171</v>
      </c>
    </row>
    <row r="65" spans="1:12" x14ac:dyDescent="0.2">
      <c r="A65" s="2" t="str">
        <f t="shared" si="0"/>
        <v>2023</v>
      </c>
      <c r="B65" s="2" t="str">
        <f t="shared" si="1"/>
        <v>AUG</v>
      </c>
      <c r="C65" s="2" t="s">
        <v>58</v>
      </c>
      <c r="D65" s="4">
        <v>860477.6498199997</v>
      </c>
      <c r="E65" s="4">
        <v>1093106.6003399999</v>
      </c>
      <c r="F65" s="8">
        <v>1885</v>
      </c>
      <c r="G65" s="8">
        <v>2301</v>
      </c>
      <c r="H65" s="8">
        <v>-416</v>
      </c>
      <c r="I65" s="8">
        <v>456.48681688063652</v>
      </c>
      <c r="J65" s="8">
        <v>475.05719267275089</v>
      </c>
      <c r="K65" s="6">
        <v>0.2932351524676815</v>
      </c>
      <c r="L65" s="6">
        <v>0.26920470627335952</v>
      </c>
    </row>
    <row r="66" spans="1:12" x14ac:dyDescent="0.2">
      <c r="A66" s="2" t="str">
        <f t="shared" si="0"/>
        <v>2023</v>
      </c>
      <c r="B66" s="2" t="str">
        <f t="shared" si="1"/>
        <v>SEP</v>
      </c>
      <c r="C66" s="2" t="s">
        <v>59</v>
      </c>
      <c r="D66" s="4">
        <v>898074.85536999977</v>
      </c>
      <c r="E66" s="4">
        <v>1077083.4524600001</v>
      </c>
      <c r="F66" s="8">
        <v>1972</v>
      </c>
      <c r="G66" s="8">
        <v>2120</v>
      </c>
      <c r="H66" s="8">
        <v>-148</v>
      </c>
      <c r="I66" s="8">
        <v>455.41321266227169</v>
      </c>
      <c r="J66" s="8">
        <v>508.05823229245277</v>
      </c>
      <c r="K66" s="6">
        <v>0.2889477110491967</v>
      </c>
      <c r="L66" s="6">
        <v>0.22821439453794659</v>
      </c>
    </row>
    <row r="67" spans="1:12" x14ac:dyDescent="0.2">
      <c r="A67" s="2" t="str">
        <f t="shared" ref="A67:A90" si="2">LEFT(C67,4)</f>
        <v>2023</v>
      </c>
      <c r="B67" s="2" t="str">
        <f t="shared" ref="B67:B90" si="3">RIGHT(C67,3)</f>
        <v>OCT</v>
      </c>
      <c r="C67" s="2" t="s">
        <v>60</v>
      </c>
      <c r="D67" s="4">
        <v>1247618.7778100001</v>
      </c>
      <c r="E67" s="4">
        <v>1306622.329309999</v>
      </c>
      <c r="F67" s="8">
        <v>2836</v>
      </c>
      <c r="G67" s="8">
        <v>2470</v>
      </c>
      <c r="H67" s="8">
        <v>366</v>
      </c>
      <c r="I67" s="8">
        <v>439.92199499647393</v>
      </c>
      <c r="J67" s="8">
        <v>528.9968944574897</v>
      </c>
      <c r="K67" s="6">
        <v>0.28797432181219951</v>
      </c>
      <c r="L67" s="6">
        <v>0.23596928577886669</v>
      </c>
    </row>
    <row r="68" spans="1:12" x14ac:dyDescent="0.2">
      <c r="A68" s="2" t="str">
        <f t="shared" si="2"/>
        <v>2023</v>
      </c>
      <c r="B68" s="2" t="str">
        <f t="shared" si="3"/>
        <v>NOV</v>
      </c>
      <c r="C68" s="2" t="s">
        <v>61</v>
      </c>
      <c r="D68" s="4">
        <v>3438754.2817699998</v>
      </c>
      <c r="E68" s="4">
        <v>3102464.59889</v>
      </c>
      <c r="F68" s="8">
        <v>8588</v>
      </c>
      <c r="G68" s="8">
        <v>6764</v>
      </c>
      <c r="H68" s="8">
        <v>1824</v>
      </c>
      <c r="I68" s="8">
        <v>400.41386606544017</v>
      </c>
      <c r="J68" s="8">
        <v>458.67306311206391</v>
      </c>
      <c r="K68" s="6">
        <v>0.16585878086247841</v>
      </c>
      <c r="L68" s="6">
        <v>0.20409535408286239</v>
      </c>
    </row>
    <row r="69" spans="1:12" x14ac:dyDescent="0.2">
      <c r="A69" s="2" t="str">
        <f t="shared" si="2"/>
        <v>2023</v>
      </c>
      <c r="B69" s="2" t="str">
        <f t="shared" si="3"/>
        <v>DEC</v>
      </c>
      <c r="C69" s="2" t="s">
        <v>62</v>
      </c>
      <c r="D69" s="4">
        <v>2482759.663360002</v>
      </c>
      <c r="E69" s="4">
        <v>2312388.9977000002</v>
      </c>
      <c r="F69" s="8">
        <v>5499</v>
      </c>
      <c r="G69" s="8">
        <v>5178</v>
      </c>
      <c r="H69" s="8">
        <v>321</v>
      </c>
      <c r="I69" s="8">
        <v>451.49293750863819</v>
      </c>
      <c r="J69" s="8">
        <v>446.57956695635391</v>
      </c>
      <c r="K69" s="6">
        <v>0.262060567964713</v>
      </c>
      <c r="L69" s="6">
        <v>0.1328341714804557</v>
      </c>
    </row>
    <row r="70" spans="1:12" x14ac:dyDescent="0.2">
      <c r="A70" s="2" t="str">
        <f t="shared" si="2"/>
        <v>2024</v>
      </c>
      <c r="B70" s="2" t="str">
        <f t="shared" si="3"/>
        <v>JAN</v>
      </c>
      <c r="C70" s="2" t="s">
        <v>63</v>
      </c>
      <c r="D70" s="4">
        <v>740981.6778200001</v>
      </c>
      <c r="E70" s="4">
        <v>722618.13908999995</v>
      </c>
      <c r="F70" s="8">
        <v>1928</v>
      </c>
      <c r="G70" s="8">
        <v>1523</v>
      </c>
      <c r="H70" s="8">
        <v>405</v>
      </c>
      <c r="I70" s="8">
        <v>384.3265963796681</v>
      </c>
      <c r="J70" s="8">
        <v>474.47021608010499</v>
      </c>
      <c r="K70" s="6">
        <v>0.23748403118106159</v>
      </c>
      <c r="L70" s="6">
        <v>0.3557179905609667</v>
      </c>
    </row>
    <row r="71" spans="1:12" x14ac:dyDescent="0.2">
      <c r="A71" s="2" t="str">
        <f t="shared" si="2"/>
        <v>2024</v>
      </c>
      <c r="B71" s="2" t="str">
        <f t="shared" si="3"/>
        <v>FEB</v>
      </c>
      <c r="C71" s="2" t="s">
        <v>64</v>
      </c>
      <c r="D71" s="4">
        <v>690470.93414000003</v>
      </c>
      <c r="E71" s="4">
        <v>748170.01369000005</v>
      </c>
      <c r="F71" s="8">
        <v>1772</v>
      </c>
      <c r="G71" s="8">
        <v>1985</v>
      </c>
      <c r="H71" s="8">
        <v>-213</v>
      </c>
      <c r="I71" s="8">
        <v>389.65628337471787</v>
      </c>
      <c r="J71" s="8">
        <v>376.91184568765738</v>
      </c>
      <c r="K71" s="6">
        <v>0.22021043380976049</v>
      </c>
      <c r="L71" s="6">
        <v>0.33160915398942847</v>
      </c>
    </row>
    <row r="72" spans="1:12" x14ac:dyDescent="0.2">
      <c r="A72" s="2" t="str">
        <f t="shared" si="2"/>
        <v>2024</v>
      </c>
      <c r="B72" s="2" t="str">
        <f t="shared" si="3"/>
        <v>MAR</v>
      </c>
      <c r="C72" s="2" t="s">
        <v>65</v>
      </c>
      <c r="D72" s="4">
        <v>568888.3057899999</v>
      </c>
      <c r="E72" s="4">
        <v>947547.14949999982</v>
      </c>
      <c r="F72" s="8">
        <v>1468</v>
      </c>
      <c r="G72" s="8">
        <v>2495</v>
      </c>
      <c r="H72" s="8">
        <v>-1027</v>
      </c>
      <c r="I72" s="8">
        <v>387.52609386239777</v>
      </c>
      <c r="J72" s="8">
        <v>379.77841663326649</v>
      </c>
      <c r="K72" s="6">
        <v>0.24950357723189981</v>
      </c>
      <c r="L72" s="6">
        <v>0.31180467981556598</v>
      </c>
    </row>
    <row r="73" spans="1:12" x14ac:dyDescent="0.2">
      <c r="A73" s="2" t="str">
        <f t="shared" si="2"/>
        <v>Tota</v>
      </c>
      <c r="B73" s="2" t="str">
        <f t="shared" si="3"/>
        <v>tal</v>
      </c>
      <c r="C73" s="2" t="s">
        <v>13</v>
      </c>
      <c r="D73" s="4">
        <v>14296059.79892</v>
      </c>
      <c r="E73" s="4">
        <v>14967994.16241</v>
      </c>
      <c r="F73" s="8">
        <v>33103</v>
      </c>
      <c r="G73" s="8">
        <v>31754</v>
      </c>
      <c r="H73" s="8">
        <v>1349</v>
      </c>
      <c r="I73" s="8">
        <v>431.86598794429511</v>
      </c>
      <c r="J73" s="8">
        <v>471.37350136707181</v>
      </c>
      <c r="K73" s="6">
        <v>0.25043011328201531</v>
      </c>
      <c r="L73" s="6">
        <v>0.22933547458821971</v>
      </c>
    </row>
    <row r="75" spans="1:12" x14ac:dyDescent="0.2">
      <c r="C75" s="2" t="s">
        <v>66</v>
      </c>
    </row>
    <row r="77" spans="1:12" x14ac:dyDescent="0.2">
      <c r="C77" s="1" t="s">
        <v>0</v>
      </c>
      <c r="D77" s="3" t="s">
        <v>1</v>
      </c>
      <c r="E77" s="3" t="s">
        <v>2</v>
      </c>
      <c r="F77" s="7" t="s">
        <v>3</v>
      </c>
      <c r="G77" s="7" t="s">
        <v>4</v>
      </c>
      <c r="H77" s="7" t="s">
        <v>5</v>
      </c>
      <c r="I77" s="7" t="s">
        <v>6</v>
      </c>
      <c r="J77" s="7" t="s">
        <v>7</v>
      </c>
      <c r="K77" s="5" t="s">
        <v>8</v>
      </c>
      <c r="L77" s="5" t="s">
        <v>9</v>
      </c>
    </row>
    <row r="78" spans="1:12" x14ac:dyDescent="0.2">
      <c r="A78" s="2" t="str">
        <f t="shared" si="2"/>
        <v>2024</v>
      </c>
      <c r="B78" s="2" t="str">
        <f t="shared" si="3"/>
        <v>APR</v>
      </c>
      <c r="C78" s="2" t="s">
        <v>67</v>
      </c>
      <c r="D78" s="4">
        <v>500003.05432</v>
      </c>
      <c r="E78" s="4">
        <v>699086.77591999993</v>
      </c>
      <c r="F78" s="8">
        <v>1017</v>
      </c>
      <c r="G78" s="8">
        <v>1515</v>
      </c>
      <c r="H78" s="8">
        <v>-498</v>
      </c>
      <c r="I78" s="8">
        <v>491.64508782694202</v>
      </c>
      <c r="J78" s="8">
        <v>461.44341644884491</v>
      </c>
      <c r="K78" s="6">
        <v>0.28939135229240981</v>
      </c>
      <c r="L78" s="6">
        <v>0.35525238992422331</v>
      </c>
    </row>
    <row r="79" spans="1:12" x14ac:dyDescent="0.2">
      <c r="A79" s="2" t="str">
        <f t="shared" si="2"/>
        <v>2024</v>
      </c>
      <c r="B79" s="2" t="str">
        <f t="shared" si="3"/>
        <v>MAY</v>
      </c>
      <c r="C79" s="2" t="s">
        <v>68</v>
      </c>
      <c r="D79" s="4">
        <v>558412.0891499999</v>
      </c>
      <c r="E79" s="4">
        <v>879431.97352999984</v>
      </c>
      <c r="F79" s="8">
        <v>1053</v>
      </c>
      <c r="G79" s="8">
        <v>1801</v>
      </c>
      <c r="H79" s="8">
        <v>-748</v>
      </c>
      <c r="I79" s="8">
        <v>530.30587763532753</v>
      </c>
      <c r="J79" s="8">
        <v>488.30203971682391</v>
      </c>
      <c r="K79" s="6">
        <v>0.27810133445783031</v>
      </c>
      <c r="L79" s="6">
        <v>0.26926745378552219</v>
      </c>
    </row>
    <row r="80" spans="1:12" x14ac:dyDescent="0.2">
      <c r="A80" s="2" t="str">
        <f t="shared" si="2"/>
        <v>2024</v>
      </c>
      <c r="B80" s="2" t="str">
        <f t="shared" si="3"/>
        <v>JUN</v>
      </c>
      <c r="C80" s="2" t="s">
        <v>69</v>
      </c>
      <c r="D80" s="4">
        <v>924559.26010000019</v>
      </c>
      <c r="E80" s="4">
        <v>841068.86341999983</v>
      </c>
      <c r="F80" s="8">
        <v>2112</v>
      </c>
      <c r="G80" s="8">
        <v>1849</v>
      </c>
      <c r="H80" s="8">
        <v>263</v>
      </c>
      <c r="I80" s="8">
        <v>437.76480118371222</v>
      </c>
      <c r="J80" s="8">
        <v>454.87769790156841</v>
      </c>
      <c r="K80" s="6">
        <v>0.18336346336703599</v>
      </c>
      <c r="L80" s="6">
        <v>0.29469266092214019</v>
      </c>
    </row>
    <row r="81" spans="1:12" x14ac:dyDescent="0.2">
      <c r="A81" s="2" t="str">
        <f t="shared" si="2"/>
        <v>2024</v>
      </c>
      <c r="B81" s="2" t="str">
        <f t="shared" si="3"/>
        <v>JUL</v>
      </c>
      <c r="C81" s="2" t="s">
        <v>70</v>
      </c>
      <c r="D81" s="4">
        <v>989482.78350000002</v>
      </c>
      <c r="E81" s="4">
        <v>948446.04017000017</v>
      </c>
      <c r="F81" s="8">
        <v>2393</v>
      </c>
      <c r="G81" s="8">
        <v>1990</v>
      </c>
      <c r="H81" s="8">
        <v>403</v>
      </c>
      <c r="I81" s="8">
        <v>413.49050710405351</v>
      </c>
      <c r="J81" s="8">
        <v>476.6060503366835</v>
      </c>
      <c r="K81" s="6">
        <v>0.19760141095976949</v>
      </c>
      <c r="L81" s="6">
        <v>0.30060789721774472</v>
      </c>
    </row>
    <row r="82" spans="1:12" x14ac:dyDescent="0.2">
      <c r="A82" s="2" t="str">
        <f t="shared" si="2"/>
        <v>2024</v>
      </c>
      <c r="B82" s="2" t="str">
        <f t="shared" si="3"/>
        <v>AUG</v>
      </c>
      <c r="C82" s="2" t="s">
        <v>71</v>
      </c>
      <c r="D82" s="4">
        <v>966469.7912399997</v>
      </c>
      <c r="E82" s="4">
        <v>860477.64981999993</v>
      </c>
      <c r="F82" s="8">
        <v>2932</v>
      </c>
      <c r="G82" s="8">
        <v>1885</v>
      </c>
      <c r="H82" s="8">
        <v>1047</v>
      </c>
      <c r="I82" s="8">
        <v>329.62816890859472</v>
      </c>
      <c r="J82" s="8">
        <v>456.48681688063658</v>
      </c>
      <c r="K82" s="6">
        <v>0.22045850033929301</v>
      </c>
      <c r="L82" s="6">
        <v>0.29323515246768139</v>
      </c>
    </row>
    <row r="83" spans="1:12" x14ac:dyDescent="0.2">
      <c r="A83" s="2" t="str">
        <f t="shared" si="2"/>
        <v>2024</v>
      </c>
      <c r="B83" s="2" t="str">
        <f t="shared" si="3"/>
        <v>SEP</v>
      </c>
      <c r="C83" s="2" t="s">
        <v>72</v>
      </c>
      <c r="D83" s="4">
        <v>891770.4137700001</v>
      </c>
      <c r="E83" s="4">
        <v>898074.85537</v>
      </c>
      <c r="F83" s="8">
        <v>2179</v>
      </c>
      <c r="G83" s="8">
        <v>1972</v>
      </c>
      <c r="H83" s="8">
        <v>207</v>
      </c>
      <c r="I83" s="8">
        <v>409.25672958696663</v>
      </c>
      <c r="J83" s="8">
        <v>455.4132126622718</v>
      </c>
      <c r="K83" s="6">
        <v>0.23393257673583751</v>
      </c>
      <c r="L83" s="6">
        <v>0.28894771104919692</v>
      </c>
    </row>
    <row r="84" spans="1:12" x14ac:dyDescent="0.2">
      <c r="A84" s="2" t="str">
        <f t="shared" si="2"/>
        <v>2024</v>
      </c>
      <c r="B84" s="2" t="str">
        <f t="shared" si="3"/>
        <v>OCT</v>
      </c>
      <c r="C84" s="2" t="s">
        <v>73</v>
      </c>
      <c r="D84" s="4">
        <v>1709662.096649999</v>
      </c>
      <c r="E84" s="4">
        <v>1247618.777809999</v>
      </c>
      <c r="F84" s="8">
        <v>3925</v>
      </c>
      <c r="G84" s="8">
        <v>2836</v>
      </c>
      <c r="H84" s="8">
        <v>1089</v>
      </c>
      <c r="I84" s="8">
        <v>435.5826997834393</v>
      </c>
      <c r="J84" s="8">
        <v>439.9219949964737</v>
      </c>
      <c r="K84" s="6">
        <v>0.21134556662863771</v>
      </c>
      <c r="L84" s="6">
        <v>0.28797432181219901</v>
      </c>
    </row>
    <row r="85" spans="1:12" x14ac:dyDescent="0.2">
      <c r="A85" s="2" t="str">
        <f t="shared" si="2"/>
        <v>2024</v>
      </c>
      <c r="B85" s="2" t="str">
        <f t="shared" si="3"/>
        <v>NOV</v>
      </c>
      <c r="C85" s="2" t="s">
        <v>74</v>
      </c>
      <c r="D85" s="4">
        <v>5447372.8098200001</v>
      </c>
      <c r="E85" s="4">
        <v>3438754.2817699988</v>
      </c>
      <c r="F85" s="8">
        <v>13654</v>
      </c>
      <c r="G85" s="8">
        <v>8588</v>
      </c>
      <c r="H85" s="8">
        <v>5066</v>
      </c>
      <c r="I85" s="8">
        <v>398.95802034715098</v>
      </c>
      <c r="J85" s="8">
        <v>400.41386606544012</v>
      </c>
      <c r="K85" s="6">
        <v>0.18366168323314369</v>
      </c>
      <c r="L85" s="6">
        <v>0.16585878086247841</v>
      </c>
    </row>
    <row r="86" spans="1:12" x14ac:dyDescent="0.2">
      <c r="A86" s="2" t="str">
        <f t="shared" si="2"/>
        <v>2024</v>
      </c>
      <c r="B86" s="2" t="str">
        <f t="shared" si="3"/>
        <v>DEC</v>
      </c>
      <c r="C86" s="2" t="s">
        <v>75</v>
      </c>
      <c r="D86" s="4">
        <v>1841158.3772699989</v>
      </c>
      <c r="E86" s="4">
        <v>2482759.6633599992</v>
      </c>
      <c r="F86" s="8">
        <v>4246</v>
      </c>
      <c r="G86" s="8">
        <v>5499</v>
      </c>
      <c r="H86" s="8">
        <v>-1253</v>
      </c>
      <c r="I86" s="8">
        <v>433.62185051106911</v>
      </c>
      <c r="J86" s="8">
        <v>451.49293750863779</v>
      </c>
      <c r="K86" s="6">
        <v>0.25360240678063461</v>
      </c>
      <c r="L86" s="6">
        <v>0.26206056796471211</v>
      </c>
    </row>
    <row r="87" spans="1:12" x14ac:dyDescent="0.2">
      <c r="A87" s="2" t="str">
        <f t="shared" si="2"/>
        <v>2025</v>
      </c>
      <c r="B87" s="2" t="str">
        <f t="shared" si="3"/>
        <v>JAN</v>
      </c>
      <c r="C87" s="2" t="s">
        <v>76</v>
      </c>
      <c r="D87" s="4">
        <v>611788.44021000003</v>
      </c>
      <c r="E87" s="4">
        <v>740981.6778200001</v>
      </c>
      <c r="F87" s="8">
        <v>1365</v>
      </c>
      <c r="G87" s="8">
        <v>1928</v>
      </c>
      <c r="H87" s="8">
        <v>-563</v>
      </c>
      <c r="I87" s="8">
        <v>448.19665949450552</v>
      </c>
      <c r="J87" s="8">
        <v>384.3265963796681</v>
      </c>
      <c r="K87" s="6">
        <v>0.3258295047738658</v>
      </c>
      <c r="L87" s="6">
        <v>0.23748403118106129</v>
      </c>
    </row>
    <row r="88" spans="1:12" x14ac:dyDescent="0.2">
      <c r="A88" s="2" t="str">
        <f t="shared" si="2"/>
        <v>2025</v>
      </c>
      <c r="B88" s="2" t="str">
        <f t="shared" si="3"/>
        <v>FEB</v>
      </c>
      <c r="C88" s="2" t="s">
        <v>77</v>
      </c>
      <c r="D88" s="4">
        <v>554366.01994999999</v>
      </c>
      <c r="E88" s="4">
        <v>690470.93414000003</v>
      </c>
      <c r="F88" s="8">
        <v>1211</v>
      </c>
      <c r="G88" s="8">
        <v>1772</v>
      </c>
      <c r="H88" s="8">
        <v>-561</v>
      </c>
      <c r="I88" s="8">
        <v>457.77540871180838</v>
      </c>
      <c r="J88" s="8">
        <v>389.65628337471787</v>
      </c>
      <c r="K88" s="6">
        <v>0.30492532779199988</v>
      </c>
      <c r="L88" s="6">
        <v>0.22021043380976049</v>
      </c>
    </row>
    <row r="89" spans="1:12" x14ac:dyDescent="0.2">
      <c r="A89" s="2" t="str">
        <f t="shared" si="2"/>
        <v>2025</v>
      </c>
      <c r="B89" s="2" t="str">
        <f t="shared" si="3"/>
        <v>MAR</v>
      </c>
      <c r="C89" s="2" t="s">
        <v>78</v>
      </c>
      <c r="D89" s="4">
        <v>600573.20395999996</v>
      </c>
      <c r="E89" s="4">
        <v>568888.30579000013</v>
      </c>
      <c r="F89" s="8">
        <v>1182</v>
      </c>
      <c r="G89" s="8">
        <v>1468</v>
      </c>
      <c r="H89" s="8">
        <v>-286</v>
      </c>
      <c r="I89" s="8">
        <v>508.09915732656509</v>
      </c>
      <c r="J89" s="8">
        <v>387.52609386239789</v>
      </c>
      <c r="K89" s="6">
        <v>0.22965169816198791</v>
      </c>
      <c r="L89" s="6">
        <v>0.2495035772319</v>
      </c>
    </row>
    <row r="90" spans="1:12" x14ac:dyDescent="0.2">
      <c r="A90" s="2" t="str">
        <f t="shared" si="2"/>
        <v>Tota</v>
      </c>
      <c r="B90" s="2" t="str">
        <f t="shared" si="3"/>
        <v>tal</v>
      </c>
      <c r="C90" s="2" t="s">
        <v>13</v>
      </c>
      <c r="D90" s="4">
        <v>15595618.33994</v>
      </c>
      <c r="E90" s="4">
        <v>14296059.79892</v>
      </c>
      <c r="F90" s="8">
        <v>37269</v>
      </c>
      <c r="G90" s="8">
        <v>33103</v>
      </c>
      <c r="H90" s="8">
        <v>4166</v>
      </c>
      <c r="I90" s="8">
        <v>418.46087472000852</v>
      </c>
      <c r="J90" s="8">
        <v>431.86598794429511</v>
      </c>
      <c r="K90" s="6">
        <v>0.21940476017657951</v>
      </c>
      <c r="L90" s="6">
        <v>0.25043011328201531</v>
      </c>
    </row>
    <row r="92" spans="1:12" x14ac:dyDescent="0.2">
      <c r="C92" s="2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7B9-B2DE-436C-B36A-36AAABCBB77D}">
  <dimension ref="A2:AR43"/>
  <sheetViews>
    <sheetView tabSelected="1" zoomScaleNormal="100" workbookViewId="0">
      <selection activeCell="U49" sqref="U49"/>
    </sheetView>
  </sheetViews>
  <sheetFormatPr defaultRowHeight="10.199999999999999" x14ac:dyDescent="0.2"/>
  <cols>
    <col min="1" max="1" width="4.33203125" style="2" bestFit="1" customWidth="1"/>
    <col min="2" max="2" width="4" style="2" bestFit="1" customWidth="1"/>
    <col min="3" max="5" width="4.33203125" style="2" bestFit="1" customWidth="1"/>
    <col min="6" max="6" width="5.44140625" style="2" bestFit="1" customWidth="1"/>
    <col min="7" max="7" width="8.21875" style="2" bestFit="1" customWidth="1"/>
    <col min="8" max="8" width="6.21875" style="2" bestFit="1" customWidth="1"/>
    <col min="9" max="10" width="7.77734375" style="2" bestFit="1" customWidth="1"/>
    <col min="11" max="11" width="6.109375" style="2" bestFit="1" customWidth="1"/>
    <col min="12" max="12" width="6.77734375" style="2" bestFit="1" customWidth="1"/>
    <col min="13" max="13" width="5.109375" style="2" bestFit="1" customWidth="1"/>
    <col min="14" max="14" width="5.109375" style="2" customWidth="1"/>
    <col min="15" max="15" width="2.5546875" style="8" customWidth="1"/>
    <col min="16" max="16" width="2.5546875" style="2" customWidth="1"/>
    <col min="17" max="17" width="11.6640625" style="2" bestFit="1" customWidth="1"/>
    <col min="18" max="18" width="4.33203125" style="2" bestFit="1" customWidth="1"/>
    <col min="19" max="23" width="6.33203125" style="8" bestFit="1" customWidth="1"/>
    <col min="24" max="24" width="8.33203125" style="8" bestFit="1" customWidth="1"/>
    <col min="25" max="25" width="6.33203125" style="8" bestFit="1" customWidth="1"/>
    <col min="26" max="27" width="7.88671875" style="8" bestFit="1" customWidth="1"/>
    <col min="28" max="28" width="6.33203125" style="8" bestFit="1" customWidth="1"/>
    <col min="29" max="29" width="6.77734375" style="8" bestFit="1" customWidth="1"/>
    <col min="30" max="30" width="6.33203125" style="8" bestFit="1" customWidth="1"/>
    <col min="31" max="31" width="4" style="2" customWidth="1"/>
    <col min="32" max="32" width="9.5546875" style="2" bestFit="1" customWidth="1"/>
    <col min="33" max="33" width="4.109375" style="2" bestFit="1" customWidth="1"/>
    <col min="34" max="34" width="3.88671875" style="2" bestFit="1" customWidth="1"/>
    <col min="35" max="35" width="4.33203125" style="2" bestFit="1" customWidth="1"/>
    <col min="36" max="36" width="3.88671875" style="2" bestFit="1" customWidth="1"/>
    <col min="37" max="37" width="5.44140625" style="2" bestFit="1" customWidth="1"/>
    <col min="38" max="38" width="8.21875" style="2" bestFit="1" customWidth="1"/>
    <col min="39" max="39" width="6.21875" style="2" bestFit="1" customWidth="1"/>
    <col min="40" max="41" width="7.77734375" style="2" bestFit="1" customWidth="1"/>
    <col min="42" max="42" width="5.77734375" style="2" bestFit="1" customWidth="1"/>
    <col min="43" max="43" width="6.6640625" style="2" bestFit="1" customWidth="1"/>
    <col min="44" max="44" width="5.109375" style="2" bestFit="1" customWidth="1"/>
    <col min="45" max="16384" width="8.88671875" style="2"/>
  </cols>
  <sheetData>
    <row r="2" spans="1:44" x14ac:dyDescent="0.2">
      <c r="Q2" s="16" t="s">
        <v>99</v>
      </c>
      <c r="AF2" s="16" t="s">
        <v>100</v>
      </c>
    </row>
    <row r="3" spans="1:44" x14ac:dyDescent="0.2"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10" t="s">
        <v>103</v>
      </c>
      <c r="S3" s="14">
        <f t="shared" ref="S3:AA4" si="0">B3</f>
        <v>1</v>
      </c>
      <c r="T3" s="14">
        <f t="shared" si="0"/>
        <v>2</v>
      </c>
      <c r="U3" s="14">
        <f t="shared" si="0"/>
        <v>3</v>
      </c>
      <c r="V3" s="14">
        <f t="shared" si="0"/>
        <v>4</v>
      </c>
      <c r="W3" s="14">
        <f t="shared" si="0"/>
        <v>5</v>
      </c>
      <c r="X3" s="14">
        <f t="shared" si="0"/>
        <v>6</v>
      </c>
      <c r="Y3" s="14">
        <f t="shared" si="0"/>
        <v>7</v>
      </c>
      <c r="Z3" s="14">
        <f t="shared" si="0"/>
        <v>8</v>
      </c>
      <c r="AA3" s="14">
        <f t="shared" si="0"/>
        <v>9</v>
      </c>
      <c r="AB3" s="14">
        <f t="shared" ref="AB3:AB4" si="1">K3</f>
        <v>10</v>
      </c>
      <c r="AC3" s="14">
        <f t="shared" ref="AC3:AC4" si="2">L3</f>
        <v>11</v>
      </c>
      <c r="AD3" s="14">
        <f t="shared" ref="AD3:AD4" si="3">M3</f>
        <v>12</v>
      </c>
      <c r="AE3" s="10" t="s">
        <v>103</v>
      </c>
      <c r="AG3" s="9">
        <v>1</v>
      </c>
      <c r="AH3" s="9">
        <v>2</v>
      </c>
      <c r="AI3" s="9">
        <v>3</v>
      </c>
      <c r="AJ3" s="9">
        <v>4</v>
      </c>
      <c r="AK3" s="9">
        <v>5</v>
      </c>
      <c r="AL3" s="9">
        <v>6</v>
      </c>
      <c r="AM3" s="9">
        <v>7</v>
      </c>
      <c r="AN3" s="9">
        <v>8</v>
      </c>
      <c r="AO3" s="9">
        <v>9</v>
      </c>
      <c r="AP3" s="9">
        <v>10</v>
      </c>
      <c r="AQ3" s="9">
        <v>11</v>
      </c>
      <c r="AR3" s="9">
        <v>12</v>
      </c>
    </row>
    <row r="4" spans="1:44" x14ac:dyDescent="0.2"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 t="s">
        <v>91</v>
      </c>
      <c r="L4" s="2" t="s">
        <v>92</v>
      </c>
      <c r="M4" s="2" t="s">
        <v>93</v>
      </c>
      <c r="S4" s="15" t="str">
        <f t="shared" si="0"/>
        <v>April</v>
      </c>
      <c r="T4" s="15" t="str">
        <f t="shared" si="0"/>
        <v>May</v>
      </c>
      <c r="U4" s="15" t="str">
        <f t="shared" si="0"/>
        <v xml:space="preserve">June </v>
      </c>
      <c r="V4" s="15" t="str">
        <f t="shared" si="0"/>
        <v>July</v>
      </c>
      <c r="W4" s="15" t="str">
        <f t="shared" si="0"/>
        <v>August</v>
      </c>
      <c r="X4" s="15" t="str">
        <f t="shared" si="0"/>
        <v>September</v>
      </c>
      <c r="Y4" s="15" t="str">
        <f t="shared" si="0"/>
        <v>October</v>
      </c>
      <c r="Z4" s="15" t="str">
        <f t="shared" si="0"/>
        <v>November</v>
      </c>
      <c r="AA4" s="15" t="str">
        <f t="shared" si="0"/>
        <v>December</v>
      </c>
      <c r="AB4" s="15" t="str">
        <f t="shared" si="1"/>
        <v>January</v>
      </c>
      <c r="AC4" s="15" t="str">
        <f t="shared" si="2"/>
        <v>February</v>
      </c>
      <c r="AD4" s="15" t="str">
        <f t="shared" si="3"/>
        <v>March</v>
      </c>
      <c r="AG4" s="9" t="s">
        <v>82</v>
      </c>
      <c r="AH4" s="9" t="s">
        <v>83</v>
      </c>
      <c r="AI4" s="9" t="s">
        <v>84</v>
      </c>
      <c r="AJ4" s="9" t="s">
        <v>85</v>
      </c>
      <c r="AK4" s="9" t="s">
        <v>86</v>
      </c>
      <c r="AL4" s="9" t="s">
        <v>87</v>
      </c>
      <c r="AM4" s="9" t="s">
        <v>88</v>
      </c>
      <c r="AN4" s="9" t="s">
        <v>89</v>
      </c>
      <c r="AO4" s="9" t="s">
        <v>90</v>
      </c>
      <c r="AP4" s="9" t="s">
        <v>91</v>
      </c>
      <c r="AQ4" s="9" t="s">
        <v>92</v>
      </c>
      <c r="AR4" s="9" t="s">
        <v>93</v>
      </c>
    </row>
    <row r="5" spans="1:44" x14ac:dyDescent="0.2">
      <c r="A5" s="2">
        <v>2020</v>
      </c>
      <c r="K5" s="2" cm="1">
        <f t="array" ref="K5:M5">TRANSPOSE(monthFile!F2:F4)</f>
        <v>2288</v>
      </c>
      <c r="L5" s="2">
        <v>2239</v>
      </c>
      <c r="M5" s="2">
        <v>3075</v>
      </c>
      <c r="N5" s="2">
        <f>AVERAGE(B5:M5)</f>
        <v>2534</v>
      </c>
      <c r="Q5" s="16" t="s">
        <v>94</v>
      </c>
      <c r="S5" s="8">
        <f>AVERAGE(B7:B11)</f>
        <v>1477.8</v>
      </c>
      <c r="T5" s="8">
        <f>AVERAGE(C5:C11)</f>
        <v>1026.3333333333333</v>
      </c>
      <c r="U5" s="8">
        <f t="shared" ref="U5:AD5" si="4">AVERAGE(D5:D10)</f>
        <v>1859.4</v>
      </c>
      <c r="V5" s="8">
        <f t="shared" si="4"/>
        <v>1910</v>
      </c>
      <c r="W5" s="8">
        <f t="shared" si="4"/>
        <v>2724.4</v>
      </c>
      <c r="X5" s="8">
        <f t="shared" si="4"/>
        <v>2331.4</v>
      </c>
      <c r="Y5" s="8">
        <f t="shared" si="4"/>
        <v>2989.6</v>
      </c>
      <c r="Z5" s="8">
        <f t="shared" si="4"/>
        <v>8333.4</v>
      </c>
      <c r="AA5" s="8">
        <f t="shared" si="4"/>
        <v>5454.6</v>
      </c>
      <c r="AB5" s="8">
        <f t="shared" si="4"/>
        <v>1830.8333333333333</v>
      </c>
      <c r="AC5" s="8">
        <f t="shared" si="4"/>
        <v>1742.1666666666667</v>
      </c>
      <c r="AD5" s="8">
        <f t="shared" si="4"/>
        <v>2025</v>
      </c>
      <c r="AE5" s="8">
        <f>AVERAGE(S5:AD5)</f>
        <v>2808.7444444444445</v>
      </c>
    </row>
    <row r="6" spans="1:44" x14ac:dyDescent="0.2">
      <c r="A6" s="2">
        <v>2020</v>
      </c>
      <c r="B6" s="2" cm="1">
        <f t="array" ref="B6:M6">TRANSPOSE(monthFile!F10:F21)</f>
        <v>5</v>
      </c>
      <c r="C6" s="2">
        <v>109</v>
      </c>
      <c r="D6" s="2">
        <v>3249</v>
      </c>
      <c r="E6" s="2">
        <v>3110</v>
      </c>
      <c r="F6" s="2">
        <v>3305</v>
      </c>
      <c r="G6" s="2">
        <v>2162</v>
      </c>
      <c r="H6" s="2">
        <v>2751</v>
      </c>
      <c r="I6" s="2">
        <v>7712</v>
      </c>
      <c r="J6" s="2">
        <v>7440</v>
      </c>
      <c r="K6" s="2">
        <v>2333</v>
      </c>
      <c r="L6" s="2">
        <v>1775</v>
      </c>
      <c r="M6" s="2">
        <v>2414</v>
      </c>
      <c r="N6" s="2">
        <f t="shared" ref="N6:N10" si="5">AVERAGE(B6:M6)</f>
        <v>3030.4166666666665</v>
      </c>
      <c r="Q6" s="16" t="s">
        <v>95</v>
      </c>
      <c r="AF6" s="10" t="s">
        <v>102</v>
      </c>
      <c r="AG6" s="6">
        <f>AVERAGE(AG8:AG13)</f>
        <v>0.47294115889984534</v>
      </c>
      <c r="AH6" s="6">
        <f t="shared" ref="AH6:AP6" si="6">AVERAGE(AH8:AH13)</f>
        <v>0.3675810396498092</v>
      </c>
      <c r="AI6" s="6">
        <f t="shared" si="6"/>
        <v>0.62407524817884374</v>
      </c>
      <c r="AJ6" s="6">
        <f t="shared" si="6"/>
        <v>0.64454370523259008</v>
      </c>
      <c r="AK6" s="6">
        <f t="shared" si="6"/>
        <v>0.9521176436676958</v>
      </c>
      <c r="AL6" s="6">
        <f t="shared" si="6"/>
        <v>0.86210969224350908</v>
      </c>
      <c r="AM6" s="6">
        <f t="shared" si="6"/>
        <v>1.1715308613495499</v>
      </c>
      <c r="AN6" s="6">
        <f t="shared" si="6"/>
        <v>2.9322984081084638</v>
      </c>
      <c r="AO6" s="6">
        <f t="shared" si="6"/>
        <v>1.9646130724820468</v>
      </c>
      <c r="AP6" s="6">
        <f t="shared" si="6"/>
        <v>0.61126629898277873</v>
      </c>
      <c r="AQ6" s="6">
        <f t="shared" ref="AQ6:AR6" si="7">AVERAGE(AQ8:AQ12)</f>
        <v>0.60769759329340445</v>
      </c>
      <c r="AR6" s="6">
        <f t="shared" si="7"/>
        <v>0.66860985215243751</v>
      </c>
    </row>
    <row r="7" spans="1:44" x14ac:dyDescent="0.2">
      <c r="A7" s="2">
        <v>2021</v>
      </c>
      <c r="B7" s="2" cm="1">
        <f t="array" ref="B7:M7">TRANSPOSE(monthFile!F27:F38)</f>
        <v>2223</v>
      </c>
      <c r="C7" s="2">
        <v>316</v>
      </c>
      <c r="D7" s="2">
        <v>12</v>
      </c>
      <c r="E7" s="2">
        <v>-1</v>
      </c>
      <c r="F7" s="2">
        <v>3199</v>
      </c>
      <c r="G7" s="2">
        <v>3224</v>
      </c>
      <c r="H7" s="2">
        <v>2966</v>
      </c>
      <c r="I7" s="2">
        <v>4949</v>
      </c>
      <c r="J7" s="2">
        <v>4910</v>
      </c>
      <c r="K7" s="2">
        <v>1548</v>
      </c>
      <c r="L7" s="2">
        <v>1471</v>
      </c>
      <c r="M7" s="2">
        <v>1516</v>
      </c>
      <c r="N7" s="2">
        <f t="shared" si="5"/>
        <v>2194.4166666666665</v>
      </c>
      <c r="Q7" s="16" t="s">
        <v>96</v>
      </c>
      <c r="R7" s="10" t="s">
        <v>97</v>
      </c>
      <c r="S7" s="15" t="s">
        <v>98</v>
      </c>
    </row>
    <row r="8" spans="1:44" x14ac:dyDescent="0.2">
      <c r="A8" s="2">
        <v>2022</v>
      </c>
      <c r="B8" s="2" cm="1">
        <f t="array" ref="B8:M8">TRANSPOSE(monthFile!F44:F55)</f>
        <v>1340</v>
      </c>
      <c r="C8" s="2">
        <v>1445</v>
      </c>
      <c r="D8" s="2">
        <v>2075</v>
      </c>
      <c r="E8" s="2">
        <v>2058</v>
      </c>
      <c r="F8" s="2">
        <v>2301</v>
      </c>
      <c r="G8" s="2">
        <v>2120</v>
      </c>
      <c r="H8" s="2">
        <v>2470</v>
      </c>
      <c r="I8" s="2">
        <v>6764</v>
      </c>
      <c r="J8" s="2">
        <v>5178</v>
      </c>
      <c r="K8" s="2">
        <v>1523</v>
      </c>
      <c r="L8" s="2">
        <v>1985</v>
      </c>
      <c r="M8" s="2">
        <v>2495</v>
      </c>
      <c r="N8" s="2">
        <f t="shared" si="5"/>
        <v>2646.1666666666665</v>
      </c>
      <c r="R8" s="13">
        <f>1-S8</f>
        <v>9.9999999999999978E-2</v>
      </c>
      <c r="S8" s="13">
        <v>0.9</v>
      </c>
      <c r="AF8" s="2">
        <v>2020</v>
      </c>
      <c r="AG8" s="6">
        <f t="shared" ref="AG8:AR11" si="8">B6/AVERAGE(_xlfn.ANCHORARRAY($B6))</f>
        <v>1.6499381273202256E-3</v>
      </c>
      <c r="AH8" s="6">
        <f t="shared" si="8"/>
        <v>3.5968651175580915E-2</v>
      </c>
      <c r="AI8" s="6">
        <f t="shared" si="8"/>
        <v>1.0721297951326825</v>
      </c>
      <c r="AJ8" s="6">
        <f t="shared" si="8"/>
        <v>1.0262615151931802</v>
      </c>
      <c r="AK8" s="6">
        <f t="shared" si="8"/>
        <v>1.090609102158669</v>
      </c>
      <c r="AL8" s="6">
        <f t="shared" si="8"/>
        <v>0.71343324625326554</v>
      </c>
      <c r="AM8" s="6">
        <f t="shared" si="8"/>
        <v>0.90779595765158816</v>
      </c>
      <c r="AN8" s="6">
        <f t="shared" si="8"/>
        <v>2.544864567578716</v>
      </c>
      <c r="AO8" s="6">
        <f t="shared" si="8"/>
        <v>2.4551079334524957</v>
      </c>
      <c r="AP8" s="6">
        <f t="shared" si="8"/>
        <v>0.76986113020761726</v>
      </c>
      <c r="AQ8" s="6">
        <f t="shared" si="8"/>
        <v>0.58572803519868011</v>
      </c>
      <c r="AR8" s="6">
        <f t="shared" si="8"/>
        <v>0.79659012787020489</v>
      </c>
    </row>
    <row r="9" spans="1:44" x14ac:dyDescent="0.2">
      <c r="A9" s="2">
        <v>2023</v>
      </c>
      <c r="B9" s="2" cm="1">
        <f t="array" ref="B9:M9">TRANSPOSE(monthFile!F61:F72)</f>
        <v>1515</v>
      </c>
      <c r="C9" s="2">
        <v>1801</v>
      </c>
      <c r="D9" s="2">
        <v>1849</v>
      </c>
      <c r="E9" s="2">
        <v>1990</v>
      </c>
      <c r="F9" s="2">
        <v>1885</v>
      </c>
      <c r="G9" s="2">
        <v>1972</v>
      </c>
      <c r="H9" s="2">
        <v>2836</v>
      </c>
      <c r="I9" s="2">
        <v>8588</v>
      </c>
      <c r="J9" s="2">
        <v>5499</v>
      </c>
      <c r="K9" s="2">
        <v>1928</v>
      </c>
      <c r="L9" s="2">
        <v>1772</v>
      </c>
      <c r="M9" s="2">
        <v>1468</v>
      </c>
      <c r="N9" s="2">
        <f t="shared" si="5"/>
        <v>2758.5833333333335</v>
      </c>
      <c r="Q9" s="2">
        <v>2024</v>
      </c>
      <c r="S9" s="11">
        <f>AVERAGE(SUM(B8*$R$8,B9*$S$8))</f>
        <v>1497.5</v>
      </c>
      <c r="T9" s="11">
        <f t="shared" ref="T9" si="9">AVERAGE(SUM(C8*$R$8,C9*$S$8))</f>
        <v>1765.4</v>
      </c>
      <c r="U9" s="11">
        <f t="shared" ref="U9" si="10">AVERAGE(SUM(D8*$R$8,D9*$S$8))</f>
        <v>1871.6000000000001</v>
      </c>
      <c r="V9" s="11">
        <f t="shared" ref="V9" si="11">AVERAGE(SUM(E8*$R$8,E9*$S$8))</f>
        <v>1996.8</v>
      </c>
      <c r="W9" s="11">
        <f t="shared" ref="W9" si="12">AVERAGE(SUM(F8*$R$8,F9*$S$8))</f>
        <v>1926.6</v>
      </c>
      <c r="X9" s="11">
        <f t="shared" ref="X9" si="13">AVERAGE(SUM(G8*$R$8,G9*$S$8))</f>
        <v>1986.8</v>
      </c>
      <c r="Y9" s="11">
        <f t="shared" ref="Y9" si="14">AVERAGE(SUM(H8*$R$8,H9*$S$8))</f>
        <v>2799.4</v>
      </c>
      <c r="Z9" s="11">
        <f t="shared" ref="Z9" si="15">AVERAGE(SUM(I8*$R$8,I9*$S$8))</f>
        <v>8405.6</v>
      </c>
      <c r="AA9" s="11">
        <f t="shared" ref="AA9" si="16">AVERAGE(SUM(J8*$R$8,J9*$S$8))</f>
        <v>5466.9000000000005</v>
      </c>
      <c r="AB9" s="11">
        <f t="shared" ref="AB9" si="17">AVERAGE(SUM(K8*$R$8,K9*$S$8))</f>
        <v>1887.5</v>
      </c>
      <c r="AC9" s="11">
        <f t="shared" ref="AC9" si="18">AVERAGE(SUM(L8*$R$8,L9*$S$8))</f>
        <v>1793.3</v>
      </c>
      <c r="AD9" s="11">
        <f t="shared" ref="AD9" si="19">AVERAGE(SUM(M8*$R$8,M9*$S$8))</f>
        <v>1570.7</v>
      </c>
      <c r="AF9" s="2">
        <v>2021</v>
      </c>
      <c r="AG9" s="6">
        <f t="shared" si="8"/>
        <v>1.0130254813352069</v>
      </c>
      <c r="AH9" s="6">
        <f t="shared" si="8"/>
        <v>0.14400182280788365</v>
      </c>
      <c r="AI9" s="6">
        <f t="shared" si="8"/>
        <v>5.4684236509322907E-3</v>
      </c>
      <c r="AJ9" s="6">
        <f t="shared" si="8"/>
        <v>-4.5570197091102425E-4</v>
      </c>
      <c r="AK9" s="6">
        <f t="shared" si="8"/>
        <v>1.4577906049443665</v>
      </c>
      <c r="AL9" s="6">
        <f t="shared" si="8"/>
        <v>1.4691831542171421</v>
      </c>
      <c r="AM9" s="6">
        <f t="shared" si="8"/>
        <v>1.3516120457220979</v>
      </c>
      <c r="AN9" s="6">
        <f t="shared" si="8"/>
        <v>2.2552690540386591</v>
      </c>
      <c r="AO9" s="6">
        <f t="shared" si="8"/>
        <v>2.2374966771731288</v>
      </c>
      <c r="AP9" s="6">
        <f t="shared" si="8"/>
        <v>0.70542665097026547</v>
      </c>
      <c r="AQ9" s="6">
        <f t="shared" si="8"/>
        <v>0.6703375992101166</v>
      </c>
      <c r="AR9" s="6">
        <f t="shared" si="8"/>
        <v>0.69084418790111268</v>
      </c>
    </row>
    <row r="10" spans="1:44" x14ac:dyDescent="0.2">
      <c r="A10" s="2">
        <v>2024</v>
      </c>
      <c r="B10" s="2" cm="1">
        <f t="array" ref="B10:M10">TRANSPOSE(monthFile!F78:F89)</f>
        <v>1017</v>
      </c>
      <c r="C10" s="2">
        <v>1053</v>
      </c>
      <c r="D10" s="2">
        <v>2112</v>
      </c>
      <c r="E10" s="2">
        <v>2393</v>
      </c>
      <c r="F10" s="2">
        <v>2932</v>
      </c>
      <c r="G10" s="2">
        <v>2179</v>
      </c>
      <c r="H10" s="2">
        <v>3925</v>
      </c>
      <c r="I10" s="2">
        <v>13654</v>
      </c>
      <c r="J10" s="2">
        <v>4246</v>
      </c>
      <c r="K10" s="2">
        <v>1365</v>
      </c>
      <c r="L10" s="2">
        <v>1211</v>
      </c>
      <c r="M10" s="2">
        <v>1182</v>
      </c>
      <c r="N10" s="2">
        <f t="shared" si="5"/>
        <v>3105.75</v>
      </c>
      <c r="S10" s="17">
        <f t="shared" ref="S10:AD10" si="20">IFERROR(ABS(B10-S9)/B10,0)</f>
        <v>0.47246804326450342</v>
      </c>
      <c r="T10" s="17">
        <f t="shared" si="20"/>
        <v>0.67654320987654326</v>
      </c>
      <c r="U10" s="17">
        <f t="shared" si="20"/>
        <v>0.11382575757575751</v>
      </c>
      <c r="V10" s="17">
        <f t="shared" si="20"/>
        <v>0.16556623485165067</v>
      </c>
      <c r="W10" s="17">
        <f t="shared" si="20"/>
        <v>0.34290586630286496</v>
      </c>
      <c r="X10" s="17">
        <f t="shared" si="20"/>
        <v>8.8205598898577348E-2</v>
      </c>
      <c r="Y10" s="17">
        <f t="shared" si="20"/>
        <v>0.28677707006369424</v>
      </c>
      <c r="Z10" s="17">
        <f t="shared" si="20"/>
        <v>0.38438552805038811</v>
      </c>
      <c r="AA10" s="17">
        <f t="shared" si="20"/>
        <v>0.28754121526142262</v>
      </c>
      <c r="AB10" s="17">
        <f t="shared" si="20"/>
        <v>0.38278388278388276</v>
      </c>
      <c r="AC10" s="17">
        <f t="shared" si="20"/>
        <v>0.48084227910817501</v>
      </c>
      <c r="AD10" s="17">
        <f t="shared" si="20"/>
        <v>0.32884940778341798</v>
      </c>
      <c r="AE10" s="17">
        <f>AVERAGE(S10:AD10)</f>
        <v>0.33422450781840646</v>
      </c>
      <c r="AF10" s="2">
        <v>2022</v>
      </c>
      <c r="AG10" s="6">
        <f t="shared" si="8"/>
        <v>0.50639289538325882</v>
      </c>
      <c r="AH10" s="6">
        <f t="shared" si="8"/>
        <v>0.54607293569314108</v>
      </c>
      <c r="AI10" s="6">
        <f t="shared" si="8"/>
        <v>0.78415317755243441</v>
      </c>
      <c r="AJ10" s="6">
        <f t="shared" si="8"/>
        <v>0.77772879007369156</v>
      </c>
      <c r="AK10" s="6">
        <f t="shared" si="8"/>
        <v>0.86955974050513329</v>
      </c>
      <c r="AL10" s="6">
        <f t="shared" si="8"/>
        <v>0.80115890911381249</v>
      </c>
      <c r="AM10" s="6">
        <f t="shared" si="8"/>
        <v>0.93342571014675324</v>
      </c>
      <c r="AN10" s="6">
        <f t="shared" si="8"/>
        <v>2.5561504062480318</v>
      </c>
      <c r="AO10" s="6">
        <f t="shared" si="8"/>
        <v>1.9567928449959062</v>
      </c>
      <c r="AP10" s="6">
        <f t="shared" si="8"/>
        <v>0.57554953706619638</v>
      </c>
      <c r="AQ10" s="6">
        <f t="shared" si="8"/>
        <v>0.75014171442967814</v>
      </c>
      <c r="AR10" s="6">
        <f t="shared" si="8"/>
        <v>0.94287333879196322</v>
      </c>
    </row>
    <row r="11" spans="1:44" x14ac:dyDescent="0.2">
      <c r="A11" s="2">
        <v>2025</v>
      </c>
      <c r="B11" s="2">
        <v>1294</v>
      </c>
      <c r="C11" s="2">
        <v>1434</v>
      </c>
      <c r="D11" s="2">
        <v>1566</v>
      </c>
      <c r="E11" s="2">
        <v>1682</v>
      </c>
      <c r="F11" s="2">
        <v>1963</v>
      </c>
      <c r="G11" s="2">
        <v>2272</v>
      </c>
      <c r="H11" s="2">
        <v>4543</v>
      </c>
      <c r="I11" s="2">
        <v>8024</v>
      </c>
      <c r="J11" s="2">
        <v>5229</v>
      </c>
      <c r="K11" s="2">
        <v>1407</v>
      </c>
      <c r="N11" s="2">
        <f>AVERAGE(B11:M11)</f>
        <v>2941.4</v>
      </c>
      <c r="R11" s="13">
        <f>1-S11</f>
        <v>0.55000000000000004</v>
      </c>
      <c r="S11" s="13">
        <v>0.45</v>
      </c>
      <c r="AF11" s="2">
        <v>2023</v>
      </c>
      <c r="AG11" s="6">
        <f t="shared" si="8"/>
        <v>0.54919493701477207</v>
      </c>
      <c r="AH11" s="6">
        <f t="shared" si="8"/>
        <v>0.65287134096607558</v>
      </c>
      <c r="AI11" s="6">
        <f t="shared" si="8"/>
        <v>0.67027157659426639</v>
      </c>
      <c r="AJ11" s="6">
        <f t="shared" si="8"/>
        <v>0.7213847687520768</v>
      </c>
      <c r="AK11" s="6">
        <f t="shared" si="8"/>
        <v>0.68332175331540945</v>
      </c>
      <c r="AL11" s="6">
        <f t="shared" si="8"/>
        <v>0.71485968039150527</v>
      </c>
      <c r="AM11" s="6">
        <f t="shared" si="8"/>
        <v>1.0280639216989396</v>
      </c>
      <c r="AN11" s="6">
        <f t="shared" si="8"/>
        <v>3.1131921578104702</v>
      </c>
      <c r="AO11" s="6">
        <f t="shared" si="8"/>
        <v>1.9934144941546081</v>
      </c>
      <c r="AP11" s="6">
        <f t="shared" si="8"/>
        <v>0.69890946439899704</v>
      </c>
      <c r="AQ11" s="6">
        <f t="shared" si="8"/>
        <v>0.64235869860737693</v>
      </c>
      <c r="AR11" s="6">
        <f t="shared" si="8"/>
        <v>0.53215720629550189</v>
      </c>
    </row>
    <row r="12" spans="1:44" x14ac:dyDescent="0.2">
      <c r="A12" s="2">
        <v>2026</v>
      </c>
      <c r="Q12" s="2">
        <v>2025</v>
      </c>
      <c r="S12" s="11">
        <f t="shared" ref="S12:AD12" si="21">AVERAGE(SUM(B9*$R$11,B10*$S$11))</f>
        <v>1290.9000000000001</v>
      </c>
      <c r="T12" s="11">
        <f t="shared" si="21"/>
        <v>1464.4</v>
      </c>
      <c r="U12" s="11">
        <f t="shared" si="21"/>
        <v>1967.35</v>
      </c>
      <c r="V12" s="11">
        <f t="shared" si="21"/>
        <v>2171.3500000000004</v>
      </c>
      <c r="W12" s="11">
        <f t="shared" si="21"/>
        <v>2356.15</v>
      </c>
      <c r="X12" s="11">
        <f t="shared" si="21"/>
        <v>2065.15</v>
      </c>
      <c r="Y12" s="11">
        <f t="shared" si="21"/>
        <v>3326.05</v>
      </c>
      <c r="Z12" s="11">
        <f t="shared" si="21"/>
        <v>10867.7</v>
      </c>
      <c r="AA12" s="11">
        <f t="shared" si="21"/>
        <v>4935.1500000000005</v>
      </c>
      <c r="AB12" s="11">
        <f t="shared" si="21"/>
        <v>1674.65</v>
      </c>
      <c r="AC12" s="11">
        <f t="shared" si="21"/>
        <v>1519.5500000000002</v>
      </c>
      <c r="AD12" s="11">
        <f t="shared" si="21"/>
        <v>1339.3000000000002</v>
      </c>
      <c r="AF12" s="2">
        <v>2024</v>
      </c>
      <c r="AG12" s="6">
        <f>B10/AVERAGE(_xlfn.ANCHORARRAY($B10))</f>
        <v>0.3274571359574982</v>
      </c>
      <c r="AH12" s="6">
        <f t="shared" ref="AH12:AR12" si="22">C10/AVERAGE(_xlfn.ANCHORARRAY($B$10))</f>
        <v>0.33904853900024151</v>
      </c>
      <c r="AI12" s="6">
        <f t="shared" si="22"/>
        <v>0.68002897850760691</v>
      </c>
      <c r="AJ12" s="6">
        <f t="shared" si="22"/>
        <v>0.77050631892457544</v>
      </c>
      <c r="AK12" s="6">
        <f t="shared" si="22"/>
        <v>0.94405538114787091</v>
      </c>
      <c r="AL12" s="6">
        <f t="shared" si="22"/>
        <v>0.70160186750382358</v>
      </c>
      <c r="AM12" s="6">
        <f t="shared" si="22"/>
        <v>1.2637849150768736</v>
      </c>
      <c r="AN12" s="6">
        <f t="shared" si="22"/>
        <v>4.3963615873782498</v>
      </c>
      <c r="AO12" s="6">
        <f t="shared" si="22"/>
        <v>1.3671415922080012</v>
      </c>
      <c r="AP12" s="6">
        <f t="shared" si="22"/>
        <v>0.43950736537068341</v>
      </c>
      <c r="AQ12" s="6">
        <f t="shared" si="22"/>
        <v>0.3899219190211704</v>
      </c>
      <c r="AR12" s="6">
        <f t="shared" si="22"/>
        <v>0.38058439990340498</v>
      </c>
    </row>
    <row r="13" spans="1:44" x14ac:dyDescent="0.2">
      <c r="S13" s="17">
        <f t="shared" ref="S13:AB13" si="23">IFERROR(ABS(B11-S12)/B11,0)</f>
        <v>2.3956723338484612E-3</v>
      </c>
      <c r="T13" s="17">
        <f t="shared" si="23"/>
        <v>2.1199442119944276E-2</v>
      </c>
      <c r="U13" s="17">
        <f t="shared" si="23"/>
        <v>0.25628991060025536</v>
      </c>
      <c r="V13" s="17">
        <f t="shared" si="23"/>
        <v>0.29093341260404304</v>
      </c>
      <c r="W13" s="17">
        <f t="shared" si="23"/>
        <v>0.20028018339276621</v>
      </c>
      <c r="X13" s="17">
        <f t="shared" si="23"/>
        <v>9.1043133802816867E-2</v>
      </c>
      <c r="Y13" s="17">
        <f t="shared" si="23"/>
        <v>0.26787365177195682</v>
      </c>
      <c r="Z13" s="17">
        <f t="shared" si="23"/>
        <v>0.35439930209371895</v>
      </c>
      <c r="AA13" s="17">
        <f t="shared" si="23"/>
        <v>5.6196213425128982E-2</v>
      </c>
      <c r="AB13" s="17">
        <f t="shared" si="23"/>
        <v>0.19022743425728506</v>
      </c>
      <c r="AC13" s="17"/>
      <c r="AD13" s="17" t="str">
        <f>IFERROR(ABS(M11-AD12)/M11,"")</f>
        <v/>
      </c>
      <c r="AE13" s="17">
        <f>AVERAGE(S13:AD13)</f>
        <v>0.1730838356401764</v>
      </c>
      <c r="AF13" s="2">
        <v>2025</v>
      </c>
      <c r="AG13" s="6">
        <f t="shared" ref="AG13:AR13" si="24">B11/AVERAGE($B$11:$M$11)</f>
        <v>0.43992656558101584</v>
      </c>
      <c r="AH13" s="6">
        <f t="shared" si="24"/>
        <v>0.48752294825593251</v>
      </c>
      <c r="AI13" s="6">
        <f t="shared" si="24"/>
        <v>0.5323995376351397</v>
      </c>
      <c r="AJ13" s="6">
        <f t="shared" si="24"/>
        <v>0.57183654042292786</v>
      </c>
      <c r="AK13" s="6">
        <f t="shared" si="24"/>
        <v>0.66736927993472495</v>
      </c>
      <c r="AL13" s="6">
        <f t="shared" si="24"/>
        <v>0.77242129598150533</v>
      </c>
      <c r="AM13" s="6">
        <f t="shared" si="24"/>
        <v>1.544502617801047</v>
      </c>
      <c r="AN13" s="6">
        <f t="shared" si="24"/>
        <v>2.7279526755966548</v>
      </c>
      <c r="AO13" s="6">
        <f t="shared" si="24"/>
        <v>1.7777248929081388</v>
      </c>
      <c r="AP13" s="6">
        <f t="shared" si="24"/>
        <v>0.47834364588291289</v>
      </c>
      <c r="AQ13" s="6">
        <f t="shared" si="24"/>
        <v>0</v>
      </c>
      <c r="AR13" s="6">
        <f t="shared" si="24"/>
        <v>0</v>
      </c>
    </row>
    <row r="14" spans="1:44" x14ac:dyDescent="0.2"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F14" s="2">
        <v>2026</v>
      </c>
    </row>
    <row r="15" spans="1:44" x14ac:dyDescent="0.2">
      <c r="Q15" s="2">
        <v>2026</v>
      </c>
      <c r="S15" s="11">
        <f t="shared" ref="S15:AD15" si="25">AVERAGE(SUM(B10*$R$11,B11*$S$11))</f>
        <v>1141.6500000000001</v>
      </c>
      <c r="T15" s="11">
        <f t="shared" si="25"/>
        <v>1224.4500000000003</v>
      </c>
      <c r="U15" s="11">
        <f t="shared" si="25"/>
        <v>1866.3000000000002</v>
      </c>
      <c r="V15" s="11">
        <f t="shared" si="25"/>
        <v>2073.0500000000002</v>
      </c>
      <c r="W15" s="11">
        <f t="shared" si="25"/>
        <v>2495.9500000000003</v>
      </c>
      <c r="X15" s="11">
        <f t="shared" si="25"/>
        <v>2220.85</v>
      </c>
      <c r="Y15" s="11">
        <f t="shared" si="25"/>
        <v>4203.1000000000004</v>
      </c>
      <c r="Z15" s="11">
        <f t="shared" si="25"/>
        <v>11120.5</v>
      </c>
      <c r="AA15" s="11">
        <f t="shared" si="25"/>
        <v>4688.3500000000004</v>
      </c>
      <c r="AB15" s="11">
        <f t="shared" si="25"/>
        <v>1383.9</v>
      </c>
      <c r="AC15" s="11">
        <f t="shared" si="25"/>
        <v>666.05000000000007</v>
      </c>
      <c r="AD15" s="11">
        <f t="shared" si="25"/>
        <v>650.1</v>
      </c>
    </row>
    <row r="16" spans="1:44" x14ac:dyDescent="0.2"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7:31" x14ac:dyDescent="0.2"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7:31" x14ac:dyDescent="0.2">
      <c r="Q18" s="16" t="s">
        <v>101</v>
      </c>
      <c r="S18" s="13">
        <v>0.73</v>
      </c>
    </row>
    <row r="19" spans="17:31" x14ac:dyDescent="0.2">
      <c r="Q19" s="2">
        <v>2025</v>
      </c>
      <c r="S19" s="8">
        <f>S9+($S$18*(B10-S9))</f>
        <v>1146.7350000000001</v>
      </c>
      <c r="T19" s="8">
        <f t="shared" ref="T19:AD19" si="26">T9+($S$18*(C10-T9))</f>
        <v>1245.348</v>
      </c>
      <c r="U19" s="8">
        <f t="shared" si="26"/>
        <v>2047.0920000000001</v>
      </c>
      <c r="V19" s="8">
        <f t="shared" si="26"/>
        <v>2286.0259999999998</v>
      </c>
      <c r="W19" s="8">
        <f t="shared" si="26"/>
        <v>2660.5419999999999</v>
      </c>
      <c r="X19" s="8">
        <f t="shared" si="26"/>
        <v>2127.1059999999998</v>
      </c>
      <c r="Y19" s="8">
        <f t="shared" si="26"/>
        <v>3621.0879999999997</v>
      </c>
      <c r="Z19" s="8">
        <f t="shared" si="26"/>
        <v>12236.932000000001</v>
      </c>
      <c r="AA19" s="8">
        <f t="shared" si="26"/>
        <v>4575.643</v>
      </c>
      <c r="AB19" s="8">
        <f t="shared" si="26"/>
        <v>1506.075</v>
      </c>
      <c r="AC19" s="8">
        <f t="shared" si="26"/>
        <v>1368.221</v>
      </c>
      <c r="AD19" s="8">
        <f t="shared" si="26"/>
        <v>1286.9490000000001</v>
      </c>
    </row>
    <row r="20" spans="17:31" x14ac:dyDescent="0.2">
      <c r="S20" s="17">
        <f t="shared" ref="S20:AD20" si="27">IFERROR(ABS(B11-S19)/B11,0)</f>
        <v>0.11380602782071088</v>
      </c>
      <c r="T20" s="17">
        <f t="shared" si="27"/>
        <v>0.13155648535564857</v>
      </c>
      <c r="U20" s="17">
        <f t="shared" si="27"/>
        <v>0.30721072796934873</v>
      </c>
      <c r="V20" s="17">
        <f t="shared" si="27"/>
        <v>0.35911177170035663</v>
      </c>
      <c r="W20" s="17">
        <f t="shared" si="27"/>
        <v>0.35534488028527761</v>
      </c>
      <c r="X20" s="17">
        <f t="shared" si="27"/>
        <v>6.3773767605633899E-2</v>
      </c>
      <c r="Y20" s="17">
        <f t="shared" si="27"/>
        <v>0.20293022232005289</v>
      </c>
      <c r="Z20" s="17">
        <f t="shared" si="27"/>
        <v>0.52504137587238298</v>
      </c>
      <c r="AA20" s="17">
        <f t="shared" si="27"/>
        <v>0.12494874737043411</v>
      </c>
      <c r="AB20" s="17">
        <f t="shared" si="27"/>
        <v>7.0415778251599184E-2</v>
      </c>
      <c r="AC20" s="17">
        <f t="shared" si="27"/>
        <v>0</v>
      </c>
      <c r="AD20" s="17">
        <f t="shared" si="27"/>
        <v>0</v>
      </c>
      <c r="AE20" s="17">
        <f>AVERAGE(S20:AB20)</f>
        <v>0.22541397845514455</v>
      </c>
    </row>
    <row r="21" spans="17:31" x14ac:dyDescent="0.2">
      <c r="S21" s="12">
        <v>0.73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7:31" x14ac:dyDescent="0.2">
      <c r="Q22" s="2">
        <v>2026</v>
      </c>
      <c r="S22" s="8">
        <f>S19+($S$21*(B11-S12))</f>
        <v>1148.998</v>
      </c>
      <c r="T22" s="8">
        <f t="shared" ref="T22:AD22" si="28">T19+($S$21*(C11-T12))</f>
        <v>1223.1559999999999</v>
      </c>
      <c r="U22" s="8">
        <f t="shared" si="28"/>
        <v>1754.1065000000001</v>
      </c>
      <c r="V22" s="8">
        <f t="shared" si="28"/>
        <v>1928.8004999999996</v>
      </c>
      <c r="W22" s="8">
        <f t="shared" si="28"/>
        <v>2373.5425</v>
      </c>
      <c r="X22" s="8">
        <f t="shared" si="28"/>
        <v>2278.1064999999999</v>
      </c>
      <c r="Y22" s="8">
        <f t="shared" si="28"/>
        <v>4509.4614999999994</v>
      </c>
      <c r="Z22" s="8">
        <f t="shared" si="28"/>
        <v>10161.031000000001</v>
      </c>
      <c r="AA22" s="8">
        <f t="shared" si="28"/>
        <v>4790.1534999999994</v>
      </c>
      <c r="AB22" s="8">
        <f t="shared" si="28"/>
        <v>1310.6904999999999</v>
      </c>
      <c r="AC22" s="8">
        <f t="shared" si="28"/>
        <v>258.94949999999994</v>
      </c>
      <c r="AD22" s="8">
        <f t="shared" si="28"/>
        <v>309.26</v>
      </c>
    </row>
    <row r="23" spans="17:31" x14ac:dyDescent="0.2">
      <c r="S23" s="18">
        <f t="shared" ref="S23:AD23" si="29">IFERROR(ABS(B12-S22)/B12,0)</f>
        <v>0</v>
      </c>
      <c r="T23" s="18">
        <f t="shared" si="29"/>
        <v>0</v>
      </c>
      <c r="U23" s="18">
        <f t="shared" si="29"/>
        <v>0</v>
      </c>
      <c r="V23" s="18">
        <f t="shared" si="29"/>
        <v>0</v>
      </c>
      <c r="W23" s="18">
        <f t="shared" si="29"/>
        <v>0</v>
      </c>
      <c r="X23" s="18">
        <f t="shared" si="29"/>
        <v>0</v>
      </c>
      <c r="Y23" s="18">
        <f t="shared" si="29"/>
        <v>0</v>
      </c>
      <c r="Z23" s="18">
        <f t="shared" si="29"/>
        <v>0</v>
      </c>
      <c r="AA23" s="18">
        <f t="shared" si="29"/>
        <v>0</v>
      </c>
      <c r="AB23" s="18">
        <f t="shared" si="29"/>
        <v>0</v>
      </c>
      <c r="AC23" s="18">
        <f t="shared" si="29"/>
        <v>0</v>
      </c>
      <c r="AD23" s="18">
        <f t="shared" si="29"/>
        <v>0</v>
      </c>
      <c r="AE23" s="18">
        <f>AVERAGE(S23:AD23)</f>
        <v>0</v>
      </c>
    </row>
    <row r="26" spans="17:31" x14ac:dyDescent="0.2">
      <c r="Q26" s="16" t="s">
        <v>100</v>
      </c>
    </row>
    <row r="27" spans="17:31" x14ac:dyDescent="0.2">
      <c r="Q27" s="2">
        <v>2025</v>
      </c>
      <c r="S27" s="8">
        <f>B10*AG12</f>
        <v>333.02390726877564</v>
      </c>
      <c r="T27" s="8">
        <f t="shared" ref="T27:AD27" si="30">C10*AH12</f>
        <v>357.01811156725432</v>
      </c>
      <c r="U27" s="8">
        <f t="shared" si="30"/>
        <v>1436.2212026080658</v>
      </c>
      <c r="V27" s="8">
        <f t="shared" si="30"/>
        <v>1843.821621186509</v>
      </c>
      <c r="W27" s="8">
        <f t="shared" si="30"/>
        <v>2767.9703775255575</v>
      </c>
      <c r="X27" s="8">
        <f t="shared" si="30"/>
        <v>1528.7904692908317</v>
      </c>
      <c r="Y27" s="8">
        <f t="shared" si="30"/>
        <v>4960.3557916767286</v>
      </c>
      <c r="Z27" s="8">
        <f t="shared" si="30"/>
        <v>60027.921114062621</v>
      </c>
      <c r="AA27" s="8">
        <f t="shared" si="30"/>
        <v>5804.8832005151735</v>
      </c>
      <c r="AB27" s="8">
        <f t="shared" si="30"/>
        <v>599.92755373098282</v>
      </c>
      <c r="AC27" s="8">
        <f t="shared" si="30"/>
        <v>472.19544393463735</v>
      </c>
      <c r="AD27" s="8">
        <f t="shared" si="30"/>
        <v>449.8507606858247</v>
      </c>
    </row>
    <row r="28" spans="17:31" x14ac:dyDescent="0.2"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8"/>
    </row>
    <row r="29" spans="17:31" x14ac:dyDescent="0.2">
      <c r="S29" s="8">
        <f>S12*AG12</f>
        <v>422.71441680753446</v>
      </c>
      <c r="T29" s="8">
        <f t="shared" ref="T29:AD29" si="31">T12*AH12</f>
        <v>496.50268051195371</v>
      </c>
      <c r="U29" s="8">
        <f t="shared" si="31"/>
        <v>1337.8550108669403</v>
      </c>
      <c r="V29" s="8">
        <f t="shared" si="31"/>
        <v>1673.0388955968772</v>
      </c>
      <c r="W29" s="8">
        <f t="shared" si="31"/>
        <v>2224.3360862915561</v>
      </c>
      <c r="X29" s="8">
        <f t="shared" si="31"/>
        <v>1448.9130966755213</v>
      </c>
      <c r="Y29" s="8">
        <f t="shared" si="31"/>
        <v>4203.4118167914357</v>
      </c>
      <c r="Z29" s="8">
        <f t="shared" si="31"/>
        <v>47778.338823150611</v>
      </c>
      <c r="AA29" s="8">
        <f t="shared" si="31"/>
        <v>6747.0488287853177</v>
      </c>
      <c r="AB29" s="8">
        <f t="shared" si="31"/>
        <v>736.02100941801507</v>
      </c>
      <c r="AC29" s="8">
        <f t="shared" si="31"/>
        <v>592.50585204861954</v>
      </c>
      <c r="AD29" s="8">
        <f t="shared" si="31"/>
        <v>509.71668679063038</v>
      </c>
    </row>
    <row r="30" spans="17:31" x14ac:dyDescent="0.2"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20"/>
    </row>
    <row r="31" spans="17:31" x14ac:dyDescent="0.2">
      <c r="S31" s="8">
        <f>AVERAGE($N$5:$N$10)*AG12</f>
        <v>887.918216211865</v>
      </c>
      <c r="T31" s="8">
        <f t="shared" ref="T31:AD31" si="32">AVERAGE($N$5:$N$10)*AH12</f>
        <v>919.34894952909917</v>
      </c>
      <c r="U31" s="8">
        <f t="shared" si="32"/>
        <v>1843.9363546110708</v>
      </c>
      <c r="V31" s="8">
        <f t="shared" si="32"/>
        <v>2089.2706896705931</v>
      </c>
      <c r="W31" s="8">
        <f t="shared" si="32"/>
        <v>2559.8586135036267</v>
      </c>
      <c r="X31" s="8">
        <f t="shared" si="32"/>
        <v>1902.4324416181455</v>
      </c>
      <c r="Y31" s="8">
        <f t="shared" si="32"/>
        <v>3426.8230075040024</v>
      </c>
      <c r="Z31" s="8">
        <f t="shared" si="32"/>
        <v>11920.978686486533</v>
      </c>
      <c r="AA31" s="8">
        <f t="shared" si="32"/>
        <v>3707.0803795826732</v>
      </c>
      <c r="AB31" s="8">
        <f t="shared" si="32"/>
        <v>1191.7486382784618</v>
      </c>
      <c r="AC31" s="8">
        <f t="shared" si="32"/>
        <v>1057.2949457547379</v>
      </c>
      <c r="AD31" s="8">
        <f t="shared" si="32"/>
        <v>1031.975743915855</v>
      </c>
    </row>
    <row r="32" spans="17:31" x14ac:dyDescent="0.2"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20"/>
    </row>
    <row r="33" spans="17:31" x14ac:dyDescent="0.2">
      <c r="S33" s="8">
        <f>AVERAGE($N$5:$N$10)*AG6</f>
        <v>1282.4062268657583</v>
      </c>
      <c r="T33" s="8">
        <f t="shared" ref="T33:AD33" si="33">AVERAGE($N$5:$N$10)*AH6</f>
        <v>996.716410179327</v>
      </c>
      <c r="U33" s="8">
        <f t="shared" si="33"/>
        <v>1692.2147062840556</v>
      </c>
      <c r="V33" s="8">
        <f t="shared" si="33"/>
        <v>1747.7160647217918</v>
      </c>
      <c r="W33" s="8">
        <f t="shared" si="33"/>
        <v>2581.719886229605</v>
      </c>
      <c r="X33" s="8">
        <f t="shared" si="33"/>
        <v>2337.6583255011769</v>
      </c>
      <c r="Y33" s="8">
        <f t="shared" si="33"/>
        <v>3176.6710155971568</v>
      </c>
      <c r="Z33" s="8">
        <f t="shared" si="33"/>
        <v>7951.0900390532152</v>
      </c>
      <c r="AA33" s="8">
        <f t="shared" si="33"/>
        <v>5327.1574912057622</v>
      </c>
      <c r="AB33" s="8">
        <f t="shared" si="33"/>
        <v>1657.4825289306366</v>
      </c>
      <c r="AC33" s="8">
        <f t="shared" si="33"/>
        <v>1647.8057851924711</v>
      </c>
      <c r="AD33" s="8">
        <f t="shared" si="33"/>
        <v>1812.9727591031203</v>
      </c>
    </row>
    <row r="34" spans="17:31" x14ac:dyDescent="0.2">
      <c r="S34" s="17">
        <f>IFERROR(ABS(B11-S33)/B11,0)</f>
        <v>8.9596392072965238E-3</v>
      </c>
      <c r="T34" s="17">
        <f t="shared" ref="T34:AD34" si="34">IFERROR(ABS(C11-T33)/C11,0)</f>
        <v>0.3049397418554205</v>
      </c>
      <c r="U34" s="17">
        <f t="shared" si="34"/>
        <v>8.0596875021746894E-2</v>
      </c>
      <c r="V34" s="17">
        <f t="shared" si="34"/>
        <v>3.907019305695112E-2</v>
      </c>
      <c r="W34" s="17">
        <f t="shared" si="34"/>
        <v>0.31519097617402192</v>
      </c>
      <c r="X34" s="17">
        <f t="shared" si="34"/>
        <v>2.8898910871996888E-2</v>
      </c>
      <c r="Y34" s="17">
        <f t="shared" si="34"/>
        <v>0.30075478415206763</v>
      </c>
      <c r="Z34" s="17">
        <f t="shared" si="34"/>
        <v>9.0864856613640139E-3</v>
      </c>
      <c r="AA34" s="17">
        <f t="shared" si="34"/>
        <v>1.8771751999572039E-2</v>
      </c>
      <c r="AB34" s="17">
        <f t="shared" si="34"/>
        <v>0.17802596228190234</v>
      </c>
      <c r="AC34" s="17">
        <f t="shared" si="34"/>
        <v>0</v>
      </c>
      <c r="AD34" s="17">
        <f t="shared" si="34"/>
        <v>0</v>
      </c>
      <c r="AE34" s="18">
        <f>AVERAGE(S34:AD34)</f>
        <v>0.10702461002352831</v>
      </c>
    </row>
    <row r="36" spans="17:31" x14ac:dyDescent="0.2">
      <c r="Q36" s="2">
        <v>2026</v>
      </c>
      <c r="S36" s="8">
        <f>B11*AG13</f>
        <v>569.2649758618345</v>
      </c>
      <c r="T36" s="8">
        <f t="shared" ref="T36:AD36" si="35">C11*AH13</f>
        <v>699.10790779900719</v>
      </c>
      <c r="U36" s="8">
        <f t="shared" si="35"/>
        <v>833.73767593662876</v>
      </c>
      <c r="V36" s="8">
        <f t="shared" si="35"/>
        <v>961.82906099136471</v>
      </c>
      <c r="W36" s="8">
        <f t="shared" si="35"/>
        <v>1310.0458965118651</v>
      </c>
      <c r="X36" s="8">
        <f t="shared" si="35"/>
        <v>1754.94118446998</v>
      </c>
      <c r="Y36" s="8">
        <f t="shared" si="35"/>
        <v>7016.6753926701567</v>
      </c>
      <c r="Z36" s="8">
        <f t="shared" si="35"/>
        <v>21889.092268987559</v>
      </c>
      <c r="AA36" s="8">
        <f t="shared" si="35"/>
        <v>9295.7234650166574</v>
      </c>
      <c r="AB36" s="8">
        <f t="shared" si="35"/>
        <v>673.02950975725844</v>
      </c>
      <c r="AC36" s="8">
        <f t="shared" si="35"/>
        <v>0</v>
      </c>
      <c r="AD36" s="8">
        <f t="shared" si="35"/>
        <v>0</v>
      </c>
    </row>
    <row r="38" spans="17:31" x14ac:dyDescent="0.2">
      <c r="S38" s="8">
        <f>S15*AG13</f>
        <v>502.24216359556675</v>
      </c>
      <c r="T38" s="8">
        <f t="shared" ref="T38:AD38" si="36">T15*AH13</f>
        <v>596.94747399197672</v>
      </c>
      <c r="U38" s="8">
        <f t="shared" si="36"/>
        <v>993.61725708846132</v>
      </c>
      <c r="V38" s="8">
        <f t="shared" si="36"/>
        <v>1185.4457401237507</v>
      </c>
      <c r="W38" s="8">
        <f t="shared" si="36"/>
        <v>1665.7203542530769</v>
      </c>
      <c r="X38" s="8">
        <f t="shared" si="36"/>
        <v>1715.4318351805261</v>
      </c>
      <c r="Y38" s="8">
        <f t="shared" si="36"/>
        <v>6491.6989528795812</v>
      </c>
      <c r="Z38" s="8">
        <f t="shared" si="36"/>
        <v>30336.197728972598</v>
      </c>
      <c r="AA38" s="8">
        <f t="shared" si="36"/>
        <v>8334.5965016658738</v>
      </c>
      <c r="AB38" s="8">
        <f t="shared" si="36"/>
        <v>661.97977153736315</v>
      </c>
      <c r="AC38" s="8">
        <f t="shared" si="36"/>
        <v>0</v>
      </c>
      <c r="AD38" s="8">
        <f t="shared" si="36"/>
        <v>0</v>
      </c>
    </row>
    <row r="40" spans="17:31" x14ac:dyDescent="0.2">
      <c r="S40" s="8">
        <f>AVERAGE($N$5:$N$11)*AG13</f>
        <v>1207.3302768037249</v>
      </c>
      <c r="T40" s="8">
        <f t="shared" ref="T40:AD40" si="37">AVERAGE($N$5:$N$11)*AH13</f>
        <v>1337.9533361178835</v>
      </c>
      <c r="U40" s="8">
        <f t="shared" si="37"/>
        <v>1461.1122206140906</v>
      </c>
      <c r="V40" s="8">
        <f t="shared" si="37"/>
        <v>1569.3427554743937</v>
      </c>
      <c r="W40" s="8">
        <f t="shared" si="37"/>
        <v>1831.5218959549552</v>
      </c>
      <c r="X40" s="8">
        <f t="shared" si="37"/>
        <v>2119.8256482983484</v>
      </c>
      <c r="Y40" s="8">
        <f t="shared" si="37"/>
        <v>4238.7182747444531</v>
      </c>
      <c r="Z40" s="8">
        <f t="shared" si="37"/>
        <v>7486.5673424057877</v>
      </c>
      <c r="AA40" s="8">
        <f t="shared" si="37"/>
        <v>4878.7712653838307</v>
      </c>
      <c r="AB40" s="8">
        <f t="shared" si="37"/>
        <v>1312.7617461072959</v>
      </c>
      <c r="AC40" s="8">
        <f>AVERAGE($N$5:$N$11)*AQ13</f>
        <v>0</v>
      </c>
      <c r="AD40" s="8">
        <f t="shared" si="37"/>
        <v>0</v>
      </c>
    </row>
    <row r="42" spans="17:31" x14ac:dyDescent="0.2">
      <c r="S42" s="8">
        <f>AVERAGE($N$5:$N$11)*AG6</f>
        <v>1297.9352122832224</v>
      </c>
      <c r="T42" s="8">
        <f t="shared" ref="T42:AD42" si="38">AVERAGE($N$5:$N$11)*AH6</f>
        <v>1008.7859044431302</v>
      </c>
      <c r="U42" s="8">
        <f t="shared" si="38"/>
        <v>1712.7061675282268</v>
      </c>
      <c r="V42" s="8">
        <f t="shared" si="38"/>
        <v>1768.8796061288419</v>
      </c>
      <c r="W42" s="8">
        <f t="shared" si="38"/>
        <v>2612.982593494542</v>
      </c>
      <c r="X42" s="8">
        <f t="shared" si="38"/>
        <v>2365.9656288245887</v>
      </c>
      <c r="Y42" s="8">
        <f t="shared" si="38"/>
        <v>3215.13813845093</v>
      </c>
      <c r="Z42" s="8">
        <f t="shared" si="38"/>
        <v>8047.3718245613627</v>
      </c>
      <c r="AA42" s="8">
        <f t="shared" si="38"/>
        <v>5391.6654055190393</v>
      </c>
      <c r="AB42" s="8">
        <f t="shared" si="38"/>
        <v>1677.5534093445383</v>
      </c>
      <c r="AC42" s="8">
        <f t="shared" si="38"/>
        <v>1667.7594874382928</v>
      </c>
      <c r="AD42" s="8">
        <f t="shared" si="38"/>
        <v>1834.926510534272</v>
      </c>
    </row>
    <row r="43" spans="17:31" x14ac:dyDescent="0.2">
      <c r="S43" s="17">
        <f>IFERROR(ABS(B12-S42)/B12,0)</f>
        <v>0</v>
      </c>
      <c r="T43" s="17">
        <f t="shared" ref="T43:AD43" si="39">IFERROR(ABS(C12-T42)/C12,0)</f>
        <v>0</v>
      </c>
      <c r="U43" s="17">
        <f t="shared" si="39"/>
        <v>0</v>
      </c>
      <c r="V43" s="17">
        <f t="shared" si="39"/>
        <v>0</v>
      </c>
      <c r="W43" s="17">
        <f t="shared" si="39"/>
        <v>0</v>
      </c>
      <c r="X43" s="17">
        <f t="shared" si="39"/>
        <v>0</v>
      </c>
      <c r="Y43" s="17">
        <f t="shared" si="39"/>
        <v>0</v>
      </c>
      <c r="Z43" s="17">
        <f t="shared" si="39"/>
        <v>0</v>
      </c>
      <c r="AA43" s="17">
        <f t="shared" si="39"/>
        <v>0</v>
      </c>
      <c r="AB43" s="17">
        <f t="shared" si="39"/>
        <v>0</v>
      </c>
      <c r="AC43" s="17">
        <f t="shared" si="39"/>
        <v>0</v>
      </c>
      <c r="AD43" s="17">
        <f t="shared" si="39"/>
        <v>0</v>
      </c>
      <c r="AE43" s="18">
        <f>AVERAGE(S43:AD43)</f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0564-3D89-4DBE-A7AB-4A8BA240DE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5EBF-9861-4A10-97F5-2E02B5CFA6D3}">
  <dimension ref="A1"/>
  <sheetViews>
    <sheetView workbookViewId="0">
      <selection activeCell="AC8" sqref="AC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monthFile</vt:lpstr>
      <vt:lpstr>Forecast</vt:lpstr>
      <vt:lpstr>Sheet1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Vyan Persad (Unicomer Trinidad)</cp:lastModifiedBy>
  <dcterms:created xsi:type="dcterms:W3CDTF">2026-02-07T06:38:00Z</dcterms:created>
  <dcterms:modified xsi:type="dcterms:W3CDTF">2026-02-16T03:25:01Z</dcterms:modified>
</cp:coreProperties>
</file>