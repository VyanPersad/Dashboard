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yan\Documents\"/>
    </mc:Choice>
  </mc:AlternateContent>
  <xr:revisionPtr revIDLastSave="0" documentId="13_ncr:1_{32340E15-A0E8-4163-9475-DE8CF2DB5CA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lassFile" sheetId="1" r:id="rId1"/>
    <sheet name="ClassTrend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B2" i="2"/>
  <c r="M10" i="2"/>
  <c r="M11" i="2"/>
  <c r="M12" i="2"/>
  <c r="M13" i="2"/>
  <c r="M14" i="2"/>
  <c r="M9" i="2"/>
  <c r="C14" i="2" a="1"/>
  <c r="C14" i="2" s="1"/>
  <c r="B14" i="2" a="1"/>
  <c r="B14" i="2" s="1"/>
  <c r="C13" i="2" a="1"/>
  <c r="C13" i="2" s="1"/>
  <c r="B13" i="2" a="1"/>
  <c r="B13" i="2" s="1"/>
  <c r="B12" i="2" a="1"/>
  <c r="B12" i="2" s="1"/>
  <c r="K12" i="2" s="1"/>
  <c r="B11" i="2" a="1"/>
  <c r="B11" i="2" s="1"/>
  <c r="K11" i="2" s="1"/>
  <c r="B10" i="2" a="1"/>
  <c r="B10" i="2" s="1"/>
  <c r="K10" i="2" s="1"/>
  <c r="B9" i="2" a="1"/>
  <c r="B9" i="2" s="1"/>
  <c r="K9" i="2" s="1"/>
  <c r="B1" i="2" a="1"/>
  <c r="B1" i="2" s="1"/>
  <c r="N1" i="2" s="1"/>
  <c r="K14" i="2" l="1"/>
  <c r="N14" i="2" s="1"/>
  <c r="T9" i="2"/>
  <c r="N9" i="2"/>
  <c r="O9" i="2"/>
  <c r="S9" i="2"/>
  <c r="R9" i="2"/>
  <c r="O14" i="2"/>
  <c r="T11" i="2"/>
  <c r="R13" i="2"/>
  <c r="R11" i="2"/>
  <c r="N12" i="2"/>
  <c r="Q11" i="2"/>
  <c r="Q9" i="2"/>
  <c r="P9" i="2"/>
  <c r="N10" i="2"/>
  <c r="K13" i="2"/>
  <c r="N13" i="2" s="1"/>
  <c r="T10" i="2"/>
  <c r="R10" i="2"/>
  <c r="V10" i="2"/>
  <c r="U10" i="2"/>
  <c r="S12" i="2"/>
  <c r="O11" i="2"/>
  <c r="V12" i="2"/>
  <c r="T12" i="2"/>
  <c r="S10" i="2"/>
  <c r="P10" i="2"/>
  <c r="N11" i="2"/>
  <c r="P11" i="2"/>
  <c r="V14" i="2"/>
  <c r="U12" i="2"/>
  <c r="S14" i="2"/>
  <c r="R12" i="2"/>
  <c r="Q14" i="2"/>
  <c r="Q12" i="2"/>
  <c r="Q10" i="2"/>
  <c r="P14" i="2"/>
  <c r="P12" i="2"/>
  <c r="O12" i="2"/>
  <c r="O10" i="2"/>
  <c r="V11" i="2"/>
  <c r="V9" i="2"/>
  <c r="S11" i="2"/>
  <c r="U11" i="2"/>
  <c r="U9" i="2"/>
  <c r="V1" i="2"/>
  <c r="U1" i="2"/>
  <c r="T1" i="2"/>
  <c r="S1" i="2"/>
  <c r="R1" i="2"/>
  <c r="Q1" i="2"/>
  <c r="P1" i="2"/>
  <c r="O1" i="2"/>
  <c r="N5" i="2" l="1"/>
  <c r="S13" i="2"/>
  <c r="S5" i="2" s="1"/>
  <c r="Q4" i="2"/>
  <c r="Q6" i="2" s="1"/>
  <c r="Q5" i="2"/>
  <c r="U14" i="2"/>
  <c r="T5" i="2"/>
  <c r="V4" i="2"/>
  <c r="V5" i="2"/>
  <c r="R14" i="2"/>
  <c r="R4" i="2" s="1"/>
  <c r="Q13" i="2"/>
  <c r="V13" i="2"/>
  <c r="K2" i="2"/>
  <c r="T14" i="2"/>
  <c r="N4" i="2"/>
  <c r="T4" i="2"/>
  <c r="W9" i="2"/>
  <c r="N2" i="2"/>
  <c r="S2" i="2"/>
  <c r="W11" i="2"/>
  <c r="P13" i="2"/>
  <c r="P4" i="2" s="1"/>
  <c r="O13" i="2"/>
  <c r="O4" i="2" s="1"/>
  <c r="W12" i="2"/>
  <c r="U13" i="2"/>
  <c r="U2" i="2" s="1"/>
  <c r="T13" i="2"/>
  <c r="V2" i="2"/>
  <c r="W10" i="2"/>
  <c r="Q2" i="2"/>
  <c r="V6" i="2" l="1"/>
  <c r="N6" i="2"/>
  <c r="C3" i="2"/>
  <c r="D3" i="2"/>
  <c r="F3" i="2"/>
  <c r="E3" i="2"/>
  <c r="G3" i="2"/>
  <c r="H3" i="2"/>
  <c r="J3" i="2"/>
  <c r="B3" i="2"/>
  <c r="I3" i="2"/>
  <c r="W14" i="2"/>
  <c r="R5" i="2"/>
  <c r="R6" i="2" s="1"/>
  <c r="U5" i="2"/>
  <c r="S4" i="2"/>
  <c r="S6" i="2" s="1"/>
  <c r="R2" i="2"/>
  <c r="P5" i="2"/>
  <c r="P6" i="2" s="1"/>
  <c r="T6" i="2"/>
  <c r="T2" i="2"/>
  <c r="P2" i="2"/>
  <c r="O5" i="2"/>
  <c r="O6" i="2" s="1"/>
  <c r="U4" i="2"/>
  <c r="W13" i="2"/>
  <c r="O2" i="2"/>
  <c r="W2" i="2" s="1"/>
  <c r="U6" i="2" l="1"/>
  <c r="K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<sst xmlns="http://schemas.openxmlformats.org/spreadsheetml/2006/main" count="269" uniqueCount="51">
  <si>
    <t>Class</t>
  </si>
  <si>
    <t>Sales TY ($)</t>
  </si>
  <si>
    <t>Sales LY ($)</t>
  </si>
  <si>
    <t>Sales 2LY ($)</t>
  </si>
  <si>
    <t>Var LY ($)</t>
  </si>
  <si>
    <t>Var 2LY ($)</t>
  </si>
  <si>
    <t>% Var LY ($)</t>
  </si>
  <si>
    <t>% Var 2LY ($)</t>
  </si>
  <si>
    <t>Sales TY (Units)</t>
  </si>
  <si>
    <t>Sales LY (Units)</t>
  </si>
  <si>
    <t>Sales 2LY (Units)</t>
  </si>
  <si>
    <t>Var LY (Units)</t>
  </si>
  <si>
    <t>Var 2LY (Units)</t>
  </si>
  <si>
    <t>% Var LY (Units)</t>
  </si>
  <si>
    <t>% Var 2LY (Units)</t>
  </si>
  <si>
    <t>Sales TY (ATV)</t>
  </si>
  <si>
    <t>Sales LY (ATV)</t>
  </si>
  <si>
    <t>Sales 2LY (ATV)</t>
  </si>
  <si>
    <t>Var LY (ATV)</t>
  </si>
  <si>
    <t>Var 2LY(ATV)</t>
  </si>
  <si>
    <t>% Var LY (ATV)</t>
  </si>
  <si>
    <t>% Var 2LY (ATV)</t>
  </si>
  <si>
    <t>% Margin TY</t>
  </si>
  <si>
    <t>% Margin LY</t>
  </si>
  <si>
    <t>% Margin 2LY</t>
  </si>
  <si>
    <t>% Var LY (Margin)</t>
  </si>
  <si>
    <t>% Var 2LY (Margin)</t>
  </si>
  <si>
    <t>MEDIA PLAYER</t>
  </si>
  <si>
    <t>inf</t>
  </si>
  <si>
    <t>TV 32INCH</t>
  </si>
  <si>
    <t>TV 43INCH LT</t>
  </si>
  <si>
    <t>TV 50INCH LT</t>
  </si>
  <si>
    <t>TV 55INCH LT</t>
  </si>
  <si>
    <t>TV 65INCH GT</t>
  </si>
  <si>
    <t>TV 75INCH LT</t>
  </si>
  <si>
    <t>TV 85INCH GT</t>
  </si>
  <si>
    <t>VIDEO ACCESSORIES</t>
  </si>
  <si>
    <t>Total</t>
  </si>
  <si>
    <t>Applied filters:
Añofiscal is 2020
REGION is CAR
COUNTRY is Trinidad and Tobago
ENG_DIVISION is AUDIO VISUAL
ENG_DEPARTMENT is VISION
ENG_CLASS is not (Blank) or PREPAID BALANCE
REGION is not ALL or USA
COUNTRY is not Paraguay or Aruba</t>
  </si>
  <si>
    <t>Applied filters:
Añofiscal is 2021
REGION is CAR
COUNTRY is Trinidad and Tobago
ENG_DIVISION is AUDIO VISUAL
ENG_DEPARTMENT is VISION
ENG_CLASS is not (Blank) or PREPAID BALANCE
REGION is not ALL or USA
COUNTRY is not Paraguay or Aruba</t>
  </si>
  <si>
    <t>Applied filters:
Añofiscal is 2022
REGION is CAR
COUNTRY is Trinidad and Tobago
ENG_DIVISION is AUDIO VISUAL
ENG_DEPARTMENT is VISION
ENG_CLASS is not (Blank) or PREPAID BALANCE
REGION is not ALL or USA
COUNTRY is not Paraguay or Aruba</t>
  </si>
  <si>
    <t>Applied filters:
Añofiscal is 2023
REGION is CAR
COUNTRY is Trinidad and Tobago
ENG_DIVISION is AUDIO VISUAL
ENG_DEPARTMENT is VISION
ENG_CLASS is not (Blank) or PREPAID BALANCE
REGION is not ALL or USA
COUNTRY is not Paraguay or Aruba</t>
  </si>
  <si>
    <t>TV 25INCH LT</t>
  </si>
  <si>
    <t>-inf</t>
  </si>
  <si>
    <t>Applied filters:
Añofiscal is 2024
REGION is CAR
COUNTRY is Trinidad and Tobago
ENG_DIVISION is AUDIO VISUAL
ENG_DEPARTMENT is VISION
ENG_CLASS is not (Blank) or PREPAID BALANCE
REGION is not ALL or USA
COUNTRY is not Paraguay or Aruba</t>
  </si>
  <si>
    <t>Applied filters:
Añofiscal is 2025
REGION is CAR
COUNTRY is Trinidad and Tobago
ENG_DIVISION is AUDIO VISUAL
ENG_DEPARTMENT is VISION
ENG_CLASS is not (Blank) or PREPAID BALANCE
REGION is not ALL or USA
COUNTRY is not Paraguay or Aruba</t>
  </si>
  <si>
    <t>AVERAGE</t>
  </si>
  <si>
    <t>MAX</t>
  </si>
  <si>
    <t>YEAR</t>
  </si>
  <si>
    <t>TOTAL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</si>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</sst>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2" fontId="2" fillId="0" borderId="1" xfId="0" applyNumberFormat="1" applyFont="1" applyBorder="1" applyAlignment="1">
      <alignment horizontal="center" vertical="top"/>
    </xf>
    <xf numFmtId="2" fontId="3" fillId="0" borderId="0" xfId="0" applyNumberFormat="1" applyFont="1"/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2" fontId="2" fillId="0" borderId="1" xfId="1" applyNumberFormat="1" applyFont="1" applyBorder="1" applyAlignment="1">
      <alignment horizontal="center" vertical="top"/>
    </xf>
    <xf numFmtId="2" fontId="3" fillId="0" borderId="0" xfId="1" applyNumberFormat="1" applyFont="1"/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81732200536544"/>
          <c:y val="8.3545059322276904E-2"/>
          <c:w val="0.8680052908078435"/>
          <c:h val="0.763412892209417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ClassTrend!$B$1</c:f>
              <c:strCache>
                <c:ptCount val="1"/>
                <c:pt idx="0">
                  <c:v>MEDIA PLAYER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ClassTrend!$B$9:$B$14</c:f>
              <c:numCache>
                <c:formatCode>General</c:formatCode>
                <c:ptCount val="6"/>
                <c:pt idx="0">
                  <c:v>878</c:v>
                </c:pt>
                <c:pt idx="1">
                  <c:v>2613</c:v>
                </c:pt>
                <c:pt idx="2">
                  <c:v>516</c:v>
                </c:pt>
                <c:pt idx="3">
                  <c:v>411</c:v>
                </c:pt>
                <c:pt idx="4">
                  <c:v>87</c:v>
                </c:pt>
                <c:pt idx="5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2-49A6-8076-64B0C7EE5170}"/>
            </c:ext>
          </c:extLst>
        </c:ser>
        <c:ser>
          <c:idx val="1"/>
          <c:order val="1"/>
          <c:tx>
            <c:strRef>
              <c:f>ClassTrend!$C$1</c:f>
              <c:strCache>
                <c:ptCount val="1"/>
                <c:pt idx="0">
                  <c:v>TV 32INCH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ClassTrend!$C$9:$C$14</c:f>
              <c:numCache>
                <c:formatCode>General</c:formatCode>
                <c:ptCount val="6"/>
                <c:pt idx="0">
                  <c:v>2833</c:v>
                </c:pt>
                <c:pt idx="1">
                  <c:v>11598</c:v>
                </c:pt>
                <c:pt idx="2">
                  <c:v>8162</c:v>
                </c:pt>
                <c:pt idx="3">
                  <c:v>8846</c:v>
                </c:pt>
                <c:pt idx="4">
                  <c:v>7854</c:v>
                </c:pt>
                <c:pt idx="5">
                  <c:v>8612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62-49A6-8076-64B0C7EE5170}"/>
            </c:ext>
          </c:extLst>
        </c:ser>
        <c:ser>
          <c:idx val="2"/>
          <c:order val="2"/>
          <c:tx>
            <c:strRef>
              <c:f>ClassTrend!$D$1</c:f>
              <c:strCache>
                <c:ptCount val="1"/>
                <c:pt idx="0">
                  <c:v>TV 43INCH LT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ClassTrend!$D$9:$D$14</c:f>
              <c:numCache>
                <c:formatCode>General</c:formatCode>
                <c:ptCount val="6"/>
                <c:pt idx="0">
                  <c:v>1767</c:v>
                </c:pt>
                <c:pt idx="1">
                  <c:v>9070</c:v>
                </c:pt>
                <c:pt idx="2">
                  <c:v>7614</c:v>
                </c:pt>
                <c:pt idx="3">
                  <c:v>8501</c:v>
                </c:pt>
                <c:pt idx="4">
                  <c:v>6452</c:v>
                </c:pt>
                <c:pt idx="5">
                  <c:v>7790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62-49A6-8076-64B0C7EE5170}"/>
            </c:ext>
          </c:extLst>
        </c:ser>
        <c:ser>
          <c:idx val="3"/>
          <c:order val="3"/>
          <c:tx>
            <c:strRef>
              <c:f>ClassTrend!$E$1</c:f>
              <c:strCache>
                <c:ptCount val="1"/>
                <c:pt idx="0">
                  <c:v>TV 50INCH LT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ClassTrend!$E$9:$E$14</c:f>
              <c:numCache>
                <c:formatCode>General</c:formatCode>
                <c:ptCount val="6"/>
                <c:pt idx="0">
                  <c:v>1597</c:v>
                </c:pt>
                <c:pt idx="1">
                  <c:v>8110</c:v>
                </c:pt>
                <c:pt idx="2">
                  <c:v>4860</c:v>
                </c:pt>
                <c:pt idx="3">
                  <c:v>6936</c:v>
                </c:pt>
                <c:pt idx="4">
                  <c:v>8531</c:v>
                </c:pt>
                <c:pt idx="5">
                  <c:v>5489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62-49A6-8076-64B0C7EE5170}"/>
            </c:ext>
          </c:extLst>
        </c:ser>
        <c:ser>
          <c:idx val="4"/>
          <c:order val="4"/>
          <c:tx>
            <c:strRef>
              <c:f>ClassTrend!$F$1</c:f>
              <c:strCache>
                <c:ptCount val="1"/>
                <c:pt idx="0">
                  <c:v>TV 55INCH LT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ClassTrend!$F$9:$F$14</c:f>
              <c:numCache>
                <c:formatCode>General</c:formatCode>
                <c:ptCount val="6"/>
                <c:pt idx="0">
                  <c:v>253</c:v>
                </c:pt>
                <c:pt idx="1">
                  <c:v>3004</c:v>
                </c:pt>
                <c:pt idx="2">
                  <c:v>3355</c:v>
                </c:pt>
                <c:pt idx="3">
                  <c:v>4388</c:v>
                </c:pt>
                <c:pt idx="4">
                  <c:v>6621</c:v>
                </c:pt>
                <c:pt idx="5">
                  <c:v>10206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62-49A6-8076-64B0C7EE5170}"/>
            </c:ext>
          </c:extLst>
        </c:ser>
        <c:ser>
          <c:idx val="5"/>
          <c:order val="5"/>
          <c:tx>
            <c:strRef>
              <c:f>ClassTrend!$G$1</c:f>
              <c:strCache>
                <c:ptCount val="1"/>
                <c:pt idx="0">
                  <c:v>TV 65INCH GT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ClassTrend!$G$9:$G$14</c:f>
              <c:numCache>
                <c:formatCode>General</c:formatCode>
                <c:ptCount val="6"/>
                <c:pt idx="0">
                  <c:v>140</c:v>
                </c:pt>
                <c:pt idx="1">
                  <c:v>1495</c:v>
                </c:pt>
                <c:pt idx="2">
                  <c:v>1613</c:v>
                </c:pt>
                <c:pt idx="3">
                  <c:v>2069</c:v>
                </c:pt>
                <c:pt idx="4">
                  <c:v>2534</c:v>
                </c:pt>
                <c:pt idx="5">
                  <c:v>3889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62-49A6-8076-64B0C7EE5170}"/>
            </c:ext>
          </c:extLst>
        </c:ser>
        <c:ser>
          <c:idx val="6"/>
          <c:order val="6"/>
          <c:tx>
            <c:strRef>
              <c:f>ClassTrend!$H$1</c:f>
              <c:strCache>
                <c:ptCount val="1"/>
                <c:pt idx="0">
                  <c:v>TV 75INCH LT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ClassTrend!$H$9:$H$14</c:f>
              <c:numCache>
                <c:formatCode>General</c:formatCode>
                <c:ptCount val="6"/>
                <c:pt idx="0">
                  <c:v>52</c:v>
                </c:pt>
                <c:pt idx="1">
                  <c:v>99</c:v>
                </c:pt>
                <c:pt idx="2">
                  <c:v>171</c:v>
                </c:pt>
                <c:pt idx="3">
                  <c:v>515</c:v>
                </c:pt>
                <c:pt idx="4">
                  <c:v>834</c:v>
                </c:pt>
                <c:pt idx="5">
                  <c:v>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62-49A6-8076-64B0C7EE5170}"/>
            </c:ext>
          </c:extLst>
        </c:ser>
        <c:ser>
          <c:idx val="7"/>
          <c:order val="7"/>
          <c:tx>
            <c:strRef>
              <c:f>ClassTrend!$I$1</c:f>
              <c:strCache>
                <c:ptCount val="1"/>
                <c:pt idx="0">
                  <c:v>TV 85INCH GT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ClassTrend!$I$9:$I$14</c:f>
              <c:numCache>
                <c:formatCode>General</c:formatCode>
                <c:ptCount val="6"/>
                <c:pt idx="0">
                  <c:v>4</c:v>
                </c:pt>
                <c:pt idx="1">
                  <c:v>15</c:v>
                </c:pt>
                <c:pt idx="2">
                  <c:v>4</c:v>
                </c:pt>
                <c:pt idx="3">
                  <c:v>54</c:v>
                </c:pt>
                <c:pt idx="4">
                  <c:v>180</c:v>
                </c:pt>
                <c:pt idx="5">
                  <c:v>370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62-49A6-8076-64B0C7EE5170}"/>
            </c:ext>
          </c:extLst>
        </c:ser>
        <c:ser>
          <c:idx val="8"/>
          <c:order val="8"/>
          <c:tx>
            <c:strRef>
              <c:f>ClassTrend!$J$1</c:f>
              <c:strCache>
                <c:ptCount val="1"/>
                <c:pt idx="0">
                  <c:v>VIDEO ACCESSORIES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ClassTrend!$A$9:$A$14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ClassTrend!$J$9:$J$14</c:f>
              <c:numCache>
                <c:formatCode>General</c:formatCode>
                <c:ptCount val="6"/>
                <c:pt idx="0">
                  <c:v>78</c:v>
                </c:pt>
                <c:pt idx="1">
                  <c:v>361</c:v>
                </c:pt>
                <c:pt idx="2">
                  <c:v>38</c:v>
                </c:pt>
                <c:pt idx="3">
                  <c:v>34</c:v>
                </c:pt>
                <c:pt idx="4">
                  <c:v>8</c:v>
                </c:pt>
                <c:pt idx="5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62-49A6-8076-64B0C7EE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287983"/>
        <c:axId val="2064288463"/>
      </c:scatterChart>
      <c:valAx>
        <c:axId val="2064287983"/>
        <c:scaling>
          <c:orientation val="minMax"/>
          <c:max val="2025"/>
          <c:min val="20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8463"/>
        <c:crosses val="autoZero"/>
        <c:crossBetween val="midCat"/>
        <c:majorUnit val="1"/>
        <c:minorUnit val="1"/>
      </c:valAx>
      <c:valAx>
        <c:axId val="2064288463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7983"/>
        <c:crosses val="autoZero"/>
        <c:crossBetween val="midCat"/>
        <c:majorUnit val="1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94849752584397E-2"/>
          <c:y val="0.91546198436838278"/>
          <c:w val="0.94871719574876168"/>
          <c:h val="7.5878595565404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Class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81732200536544"/>
          <c:y val="0.14423665204722913"/>
          <c:w val="0.8680052908078435"/>
          <c:h val="0.678501508529475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ClassTrend!$N$1</c:f>
              <c:strCache>
                <c:ptCount val="1"/>
                <c:pt idx="0">
                  <c:v>MEDIA PLAYER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ClassTrend!$N$9:$N$14</c:f>
              <c:numCache>
                <c:formatCode>0.00%</c:formatCode>
                <c:ptCount val="6"/>
                <c:pt idx="0">
                  <c:v>0.11549592212575638</c:v>
                </c:pt>
                <c:pt idx="1">
                  <c:v>7.1854805444795819E-2</c:v>
                </c:pt>
                <c:pt idx="2">
                  <c:v>1.959518474917404E-2</c:v>
                </c:pt>
                <c:pt idx="3">
                  <c:v>1.2943251243937772E-2</c:v>
                </c:pt>
                <c:pt idx="4">
                  <c:v>2.6283193861212652E-3</c:v>
                </c:pt>
                <c:pt idx="5">
                  <c:v>8.0495854463495125E-5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50-4650-A5B9-388C39066FF0}"/>
            </c:ext>
          </c:extLst>
        </c:ser>
        <c:ser>
          <c:idx val="1"/>
          <c:order val="1"/>
          <c:tx>
            <c:strRef>
              <c:f>ClassTrend!$O$1</c:f>
              <c:strCache>
                <c:ptCount val="1"/>
                <c:pt idx="0">
                  <c:v>TV 32INCH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ClassTrend!$O$9:$O$14</c:f>
              <c:numCache>
                <c:formatCode>0.00%</c:formatCode>
                <c:ptCount val="6"/>
                <c:pt idx="0">
                  <c:v>0.37266508813470139</c:v>
                </c:pt>
                <c:pt idx="1">
                  <c:v>0.31893304001099959</c:v>
                </c:pt>
                <c:pt idx="2">
                  <c:v>0.3099532905479816</c:v>
                </c:pt>
                <c:pt idx="3">
                  <c:v>0.2785790766517604</c:v>
                </c:pt>
                <c:pt idx="4">
                  <c:v>0.23727379837467147</c:v>
                </c:pt>
                <c:pt idx="5">
                  <c:v>0.23107676621320669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50-4650-A5B9-388C39066FF0}"/>
            </c:ext>
          </c:extLst>
        </c:ser>
        <c:ser>
          <c:idx val="2"/>
          <c:order val="2"/>
          <c:tx>
            <c:strRef>
              <c:f>ClassTrend!$P$1</c:f>
              <c:strCache>
                <c:ptCount val="1"/>
                <c:pt idx="0">
                  <c:v>TV 43INCH LT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ClassTrend!$P$9:$P$14</c:f>
              <c:numCache>
                <c:formatCode>0.00%</c:formatCode>
                <c:ptCount val="6"/>
                <c:pt idx="0">
                  <c:v>0.2324388318863457</c:v>
                </c:pt>
                <c:pt idx="1">
                  <c:v>0.24941564691324075</c:v>
                </c:pt>
                <c:pt idx="2">
                  <c:v>0.28914290054304487</c:v>
                </c:pt>
                <c:pt idx="3">
                  <c:v>0.26771430370976884</c:v>
                </c:pt>
                <c:pt idx="4">
                  <c:v>0.19491858252016556</c:v>
                </c:pt>
                <c:pt idx="5">
                  <c:v>0.20902090209020902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50-4650-A5B9-388C39066FF0}"/>
            </c:ext>
          </c:extLst>
        </c:ser>
        <c:ser>
          <c:idx val="3"/>
          <c:order val="3"/>
          <c:tx>
            <c:strRef>
              <c:f>ClassTrend!$Q$1</c:f>
              <c:strCache>
                <c:ptCount val="1"/>
                <c:pt idx="0">
                  <c:v>TV 50INCH LT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ClassTrend!$Q$9:$Q$14</c:f>
              <c:numCache>
                <c:formatCode>0.00%</c:formatCode>
                <c:ptCount val="6"/>
                <c:pt idx="0">
                  <c:v>0.21007629571165481</c:v>
                </c:pt>
                <c:pt idx="1">
                  <c:v>0.22301663687611714</c:v>
                </c:pt>
                <c:pt idx="2">
                  <c:v>0.1845592982189648</c:v>
                </c:pt>
                <c:pt idx="3">
                  <c:v>0.21842917427725642</c:v>
                </c:pt>
                <c:pt idx="4">
                  <c:v>0.25772635267816685</c:v>
                </c:pt>
                <c:pt idx="5">
                  <c:v>0.14728058171670827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50-4650-A5B9-388C39066FF0}"/>
            </c:ext>
          </c:extLst>
        </c:ser>
        <c:ser>
          <c:idx val="4"/>
          <c:order val="4"/>
          <c:tx>
            <c:strRef>
              <c:f>ClassTrend!$R$1</c:f>
              <c:strCache>
                <c:ptCount val="1"/>
                <c:pt idx="0">
                  <c:v>TV 55INCH LT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ClassTrend!$R$9:$R$14</c:f>
              <c:numCache>
                <c:formatCode>0.00%</c:formatCode>
                <c:ptCount val="6"/>
                <c:pt idx="0">
                  <c:v>3.3280715601157591E-2</c:v>
                </c:pt>
                <c:pt idx="1">
                  <c:v>8.2606902241165958E-2</c:v>
                </c:pt>
                <c:pt idx="2">
                  <c:v>0.12740667603387384</c:v>
                </c:pt>
                <c:pt idx="3">
                  <c:v>0.13818731498393902</c:v>
                </c:pt>
                <c:pt idx="4">
                  <c:v>0.20002416845412524</c:v>
                </c:pt>
                <c:pt idx="5">
                  <c:v>0.27384689688481045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50-4650-A5B9-388C39066FF0}"/>
            </c:ext>
          </c:extLst>
        </c:ser>
        <c:ser>
          <c:idx val="5"/>
          <c:order val="5"/>
          <c:tx>
            <c:strRef>
              <c:f>ClassTrend!$S$1</c:f>
              <c:strCache>
                <c:ptCount val="1"/>
                <c:pt idx="0">
                  <c:v>TV 65INCH GT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ClassTrend!$S$9:$S$14</c:f>
              <c:numCache>
                <c:formatCode>0.00%</c:formatCode>
                <c:ptCount val="6"/>
                <c:pt idx="0">
                  <c:v>1.841620626151013E-2</c:v>
                </c:pt>
                <c:pt idx="1">
                  <c:v>4.1110958339062288E-2</c:v>
                </c:pt>
                <c:pt idx="2">
                  <c:v>6.1253939923290167E-2</c:v>
                </c:pt>
                <c:pt idx="3">
                  <c:v>6.5157145556465332E-2</c:v>
                </c:pt>
                <c:pt idx="4">
                  <c:v>7.655357844173892E-2</c:v>
                </c:pt>
                <c:pt idx="5">
                  <c:v>0.10434945933617752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50-4650-A5B9-388C39066FF0}"/>
            </c:ext>
          </c:extLst>
        </c:ser>
        <c:ser>
          <c:idx val="6"/>
          <c:order val="6"/>
          <c:tx>
            <c:strRef>
              <c:f>ClassTrend!$T$1</c:f>
              <c:strCache>
                <c:ptCount val="1"/>
                <c:pt idx="0">
                  <c:v>TV 75INCH LT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ClassTrend!$T$9:$T$14</c:f>
              <c:numCache>
                <c:formatCode>0.00%</c:formatCode>
                <c:ptCount val="6"/>
                <c:pt idx="0">
                  <c:v>6.8403051828466194E-3</c:v>
                </c:pt>
                <c:pt idx="1">
                  <c:v>2.7223979100783721E-3</c:v>
                </c:pt>
                <c:pt idx="2">
                  <c:v>6.493753085482095E-3</c:v>
                </c:pt>
                <c:pt idx="3">
                  <c:v>1.6218429174277255E-2</c:v>
                </c:pt>
                <c:pt idx="4">
                  <c:v>2.5195613425576267E-2</c:v>
                </c:pt>
                <c:pt idx="5">
                  <c:v>2.4095092436072874E-2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50-4650-A5B9-388C39066FF0}"/>
            </c:ext>
          </c:extLst>
        </c:ser>
        <c:ser>
          <c:idx val="7"/>
          <c:order val="7"/>
          <c:tx>
            <c:strRef>
              <c:f>ClassTrend!$U$1</c:f>
              <c:strCache>
                <c:ptCount val="1"/>
                <c:pt idx="0">
                  <c:v>TV 85INCH GT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ClassTrend!$U$9:$U$14</c:f>
              <c:numCache>
                <c:formatCode>0.00%</c:formatCode>
                <c:ptCount val="6"/>
                <c:pt idx="0">
                  <c:v>5.2617732175743229E-4</c:v>
                </c:pt>
                <c:pt idx="1">
                  <c:v>4.1248453183005636E-4</c:v>
                </c:pt>
                <c:pt idx="2">
                  <c:v>1.5190065697034139E-4</c:v>
                </c:pt>
                <c:pt idx="3">
                  <c:v>1.7005731561378094E-3</c:v>
                </c:pt>
                <c:pt idx="4">
                  <c:v>5.4379021781819281E-3</c:v>
                </c:pt>
                <c:pt idx="5">
                  <c:v>9.9278220504977321E-3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50-4650-A5B9-388C39066FF0}"/>
            </c:ext>
          </c:extLst>
        </c:ser>
        <c:ser>
          <c:idx val="8"/>
          <c:order val="8"/>
          <c:tx>
            <c:strRef>
              <c:f>ClassTrend!$V$1</c:f>
              <c:strCache>
                <c:ptCount val="1"/>
                <c:pt idx="0">
                  <c:v>VIDEO ACCESSORIES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ClassTrend!$V$9:$V$14</c:f>
              <c:numCache>
                <c:formatCode>0.00%</c:formatCode>
                <c:ptCount val="6"/>
                <c:pt idx="0">
                  <c:v>1.0260457774269928E-2</c:v>
                </c:pt>
                <c:pt idx="1">
                  <c:v>9.9271277327100237E-3</c:v>
                </c:pt>
                <c:pt idx="2">
                  <c:v>1.4430562412182434E-3</c:v>
                </c:pt>
                <c:pt idx="3">
                  <c:v>1.0707312464571393E-3</c:v>
                </c:pt>
                <c:pt idx="4">
                  <c:v>2.4168454125253014E-4</c:v>
                </c:pt>
                <c:pt idx="5">
                  <c:v>3.219834178539805E-4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E50-4650-A5B9-388C3906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287983"/>
        <c:axId val="2064288463"/>
      </c:scatterChart>
      <c:valAx>
        <c:axId val="2064287983"/>
        <c:scaling>
          <c:orientation val="minMax"/>
          <c:max val="2025"/>
          <c:min val="20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8463"/>
        <c:crosses val="autoZero"/>
        <c:crossBetween val="midCat"/>
        <c:majorUnit val="1"/>
        <c:minorUnit val="1"/>
      </c:valAx>
      <c:valAx>
        <c:axId val="2064288463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798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254016919826256E-2"/>
          <c:y val="0.88863379207084292"/>
          <c:w val="0.91428715779154157"/>
          <c:h val="0.11136620792915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Class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81732200536544"/>
          <c:y val="0.14423665204722913"/>
          <c:w val="0.8680052908078435"/>
          <c:h val="0.678501508529475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ClassTrend!$N$1</c:f>
              <c:strCache>
                <c:ptCount val="1"/>
                <c:pt idx="0">
                  <c:v>MEDIA PLAYER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ClassTrend!$N$9:$N$14</c:f>
              <c:numCache>
                <c:formatCode>0.00%</c:formatCode>
                <c:ptCount val="6"/>
                <c:pt idx="0">
                  <c:v>0.11549592212575638</c:v>
                </c:pt>
                <c:pt idx="1">
                  <c:v>7.1854805444795819E-2</c:v>
                </c:pt>
                <c:pt idx="2">
                  <c:v>1.959518474917404E-2</c:v>
                </c:pt>
                <c:pt idx="3">
                  <c:v>1.2943251243937772E-2</c:v>
                </c:pt>
                <c:pt idx="4">
                  <c:v>2.6283193861212652E-3</c:v>
                </c:pt>
                <c:pt idx="5">
                  <c:v>8.0495854463495125E-5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E-4C43-A730-089E37BEC0CF}"/>
            </c:ext>
          </c:extLst>
        </c:ser>
        <c:ser>
          <c:idx val="1"/>
          <c:order val="1"/>
          <c:tx>
            <c:strRef>
              <c:f>ClassTrend!$O$1</c:f>
              <c:strCache>
                <c:ptCount val="1"/>
                <c:pt idx="0">
                  <c:v>TV 32INCH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ClassTrend!$O$9:$O$14</c:f>
              <c:numCache>
                <c:formatCode>0.00%</c:formatCode>
                <c:ptCount val="6"/>
                <c:pt idx="0">
                  <c:v>0.37266508813470139</c:v>
                </c:pt>
                <c:pt idx="1">
                  <c:v>0.31893304001099959</c:v>
                </c:pt>
                <c:pt idx="2">
                  <c:v>0.3099532905479816</c:v>
                </c:pt>
                <c:pt idx="3">
                  <c:v>0.2785790766517604</c:v>
                </c:pt>
                <c:pt idx="4">
                  <c:v>0.23727379837467147</c:v>
                </c:pt>
                <c:pt idx="5">
                  <c:v>0.23107676621320669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E-4C43-A730-089E37BEC0CF}"/>
            </c:ext>
          </c:extLst>
        </c:ser>
        <c:ser>
          <c:idx val="2"/>
          <c:order val="2"/>
          <c:tx>
            <c:strRef>
              <c:f>ClassTrend!$P$1</c:f>
              <c:strCache>
                <c:ptCount val="1"/>
                <c:pt idx="0">
                  <c:v>TV 43INCH 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ClassTrend!$P$9:$P$14</c:f>
              <c:numCache>
                <c:formatCode>0.00%</c:formatCode>
                <c:ptCount val="6"/>
                <c:pt idx="0">
                  <c:v>0.2324388318863457</c:v>
                </c:pt>
                <c:pt idx="1">
                  <c:v>0.24941564691324075</c:v>
                </c:pt>
                <c:pt idx="2">
                  <c:v>0.28914290054304487</c:v>
                </c:pt>
                <c:pt idx="3">
                  <c:v>0.26771430370976884</c:v>
                </c:pt>
                <c:pt idx="4">
                  <c:v>0.19491858252016556</c:v>
                </c:pt>
                <c:pt idx="5">
                  <c:v>0.20902090209020902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E-4C43-A730-089E37BEC0CF}"/>
            </c:ext>
          </c:extLst>
        </c:ser>
        <c:ser>
          <c:idx val="3"/>
          <c:order val="3"/>
          <c:tx>
            <c:strRef>
              <c:f>ClassTrend!$Q$1</c:f>
              <c:strCache>
                <c:ptCount val="1"/>
                <c:pt idx="0">
                  <c:v>TV 50INCH 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ClassTrend!$Q$9:$Q$14</c:f>
              <c:numCache>
                <c:formatCode>0.00%</c:formatCode>
                <c:ptCount val="6"/>
                <c:pt idx="0">
                  <c:v>0.21007629571165481</c:v>
                </c:pt>
                <c:pt idx="1">
                  <c:v>0.22301663687611714</c:v>
                </c:pt>
                <c:pt idx="2">
                  <c:v>0.1845592982189648</c:v>
                </c:pt>
                <c:pt idx="3">
                  <c:v>0.21842917427725642</c:v>
                </c:pt>
                <c:pt idx="4">
                  <c:v>0.25772635267816685</c:v>
                </c:pt>
                <c:pt idx="5">
                  <c:v>0.14728058171670827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E-4C43-A730-089E37BEC0CF}"/>
            </c:ext>
          </c:extLst>
        </c:ser>
        <c:ser>
          <c:idx val="4"/>
          <c:order val="4"/>
          <c:tx>
            <c:strRef>
              <c:f>ClassTrend!$R$1</c:f>
              <c:strCache>
                <c:ptCount val="1"/>
                <c:pt idx="0">
                  <c:v>TV 55INCH LT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ClassTrend!$R$9:$R$14</c:f>
              <c:numCache>
                <c:formatCode>0.00%</c:formatCode>
                <c:ptCount val="6"/>
                <c:pt idx="0">
                  <c:v>3.3280715601157591E-2</c:v>
                </c:pt>
                <c:pt idx="1">
                  <c:v>8.2606902241165958E-2</c:v>
                </c:pt>
                <c:pt idx="2">
                  <c:v>0.12740667603387384</c:v>
                </c:pt>
                <c:pt idx="3">
                  <c:v>0.13818731498393902</c:v>
                </c:pt>
                <c:pt idx="4">
                  <c:v>0.20002416845412524</c:v>
                </c:pt>
                <c:pt idx="5">
                  <c:v>0.27384689688481045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E-4C43-A730-089E37BEC0CF}"/>
            </c:ext>
          </c:extLst>
        </c:ser>
        <c:ser>
          <c:idx val="5"/>
          <c:order val="5"/>
          <c:tx>
            <c:strRef>
              <c:f>ClassTrend!$S$1</c:f>
              <c:strCache>
                <c:ptCount val="1"/>
                <c:pt idx="0">
                  <c:v>TV 65INCH GT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ClassTrend!$S$9:$S$14</c:f>
              <c:numCache>
                <c:formatCode>0.00%</c:formatCode>
                <c:ptCount val="6"/>
                <c:pt idx="0">
                  <c:v>1.841620626151013E-2</c:v>
                </c:pt>
                <c:pt idx="1">
                  <c:v>4.1110958339062288E-2</c:v>
                </c:pt>
                <c:pt idx="2">
                  <c:v>6.1253939923290167E-2</c:v>
                </c:pt>
                <c:pt idx="3">
                  <c:v>6.5157145556465332E-2</c:v>
                </c:pt>
                <c:pt idx="4">
                  <c:v>7.655357844173892E-2</c:v>
                </c:pt>
                <c:pt idx="5">
                  <c:v>0.10434945933617752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5E-4C43-A730-089E37BEC0CF}"/>
            </c:ext>
          </c:extLst>
        </c:ser>
        <c:ser>
          <c:idx val="6"/>
          <c:order val="6"/>
          <c:tx>
            <c:strRef>
              <c:f>ClassTrend!$T$1</c:f>
              <c:strCache>
                <c:ptCount val="1"/>
                <c:pt idx="0">
                  <c:v>TV 75INCH LT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ClassTrend!$T$9:$T$14</c:f>
              <c:numCache>
                <c:formatCode>0.00%</c:formatCode>
                <c:ptCount val="6"/>
                <c:pt idx="0">
                  <c:v>6.8403051828466194E-3</c:v>
                </c:pt>
                <c:pt idx="1">
                  <c:v>2.7223979100783721E-3</c:v>
                </c:pt>
                <c:pt idx="2">
                  <c:v>6.493753085482095E-3</c:v>
                </c:pt>
                <c:pt idx="3">
                  <c:v>1.6218429174277255E-2</c:v>
                </c:pt>
                <c:pt idx="4">
                  <c:v>2.5195613425576267E-2</c:v>
                </c:pt>
                <c:pt idx="5">
                  <c:v>2.4095092436072874E-2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5E-4C43-A730-089E37BEC0CF}"/>
            </c:ext>
          </c:extLst>
        </c:ser>
        <c:ser>
          <c:idx val="7"/>
          <c:order val="7"/>
          <c:tx>
            <c:strRef>
              <c:f>ClassTrend!$U$1</c:f>
              <c:strCache>
                <c:ptCount val="1"/>
                <c:pt idx="0">
                  <c:v>TV 85INCH GT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ClassTrend!$U$9:$U$14</c:f>
              <c:numCache>
                <c:formatCode>0.00%</c:formatCode>
                <c:ptCount val="6"/>
                <c:pt idx="0">
                  <c:v>5.2617732175743229E-4</c:v>
                </c:pt>
                <c:pt idx="1">
                  <c:v>4.1248453183005636E-4</c:v>
                </c:pt>
                <c:pt idx="2">
                  <c:v>1.5190065697034139E-4</c:v>
                </c:pt>
                <c:pt idx="3">
                  <c:v>1.7005731561378094E-3</c:v>
                </c:pt>
                <c:pt idx="4">
                  <c:v>5.4379021781819281E-3</c:v>
                </c:pt>
                <c:pt idx="5">
                  <c:v>9.9278220504977321E-3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E-4C43-A730-089E37BEC0CF}"/>
            </c:ext>
          </c:extLst>
        </c:ser>
        <c:ser>
          <c:idx val="8"/>
          <c:order val="8"/>
          <c:tx>
            <c:strRef>
              <c:f>ClassTrend!$V$1</c:f>
              <c:strCache>
                <c:ptCount val="1"/>
                <c:pt idx="0">
                  <c:v>VIDEO ACCESSORIES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ClassTrend!$M$9:$M$14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ClassTrend!$V$9:$V$14</c:f>
              <c:numCache>
                <c:formatCode>0.00%</c:formatCode>
                <c:ptCount val="6"/>
                <c:pt idx="0">
                  <c:v>1.0260457774269928E-2</c:v>
                </c:pt>
                <c:pt idx="1">
                  <c:v>9.9271277327100237E-3</c:v>
                </c:pt>
                <c:pt idx="2">
                  <c:v>1.4430562412182434E-3</c:v>
                </c:pt>
                <c:pt idx="3">
                  <c:v>1.0707312464571393E-3</c:v>
                </c:pt>
                <c:pt idx="4">
                  <c:v>2.4168454125253014E-4</c:v>
                </c:pt>
                <c:pt idx="5">
                  <c:v>3.219834178539805E-4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5E-4C43-A730-089E37BE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287983"/>
        <c:axId val="2064288463"/>
      </c:barChart>
      <c:catAx>
        <c:axId val="206428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8463"/>
        <c:crosses val="autoZero"/>
        <c:auto val="1"/>
        <c:lblAlgn val="ctr"/>
        <c:lblOffset val="100"/>
        <c:noMultiLvlLbl val="0"/>
      </c:catAx>
      <c:valAx>
        <c:axId val="20642884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2879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254016919826256E-2"/>
          <c:y val="0.91810162631304304"/>
          <c:w val="0.90254598367348771"/>
          <c:h val="4.947206182936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19050</xdr:rowOff>
    </xdr:from>
    <xdr:to>
      <xdr:col>10</xdr:col>
      <xdr:colOff>457200</xdr:colOff>
      <xdr:row>41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48196-A95C-4959-8067-03316E059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20</xdr:col>
      <xdr:colOff>457200</xdr:colOff>
      <xdr:row>41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3F0F01-DF7F-404B-89AB-50EE228F0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28</xdr:col>
      <xdr:colOff>579120</xdr:colOff>
      <xdr:row>41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DE0CF0-A27A-4E4C-AB03-AE17F00DB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topLeftCell="A49" workbookViewId="0">
      <selection activeCell="I75" sqref="I75"/>
    </sheetView>
  </sheetViews>
  <sheetFormatPr defaultRowHeight="10.199999999999999" x14ac:dyDescent="0.2"/>
  <cols>
    <col min="1" max="1" width="19.5546875" style="2" customWidth="1"/>
    <col min="2" max="6" width="12.21875" style="4" bestFit="1" customWidth="1"/>
    <col min="7" max="8" width="10.6640625" style="4" bestFit="1" customWidth="1"/>
    <col min="9" max="10" width="10.44140625" style="8" bestFit="1" customWidth="1"/>
    <col min="11" max="11" width="11.21875" style="8" bestFit="1" customWidth="1"/>
    <col min="12" max="12" width="9.44140625" style="8" bestFit="1" customWidth="1"/>
    <col min="13" max="13" width="10.21875" style="8" bestFit="1" customWidth="1"/>
    <col min="14" max="14" width="10.77734375" style="10" bestFit="1" customWidth="1"/>
    <col min="15" max="15" width="11.6640625" style="10" bestFit="1" customWidth="1"/>
    <col min="16" max="17" width="10.109375" style="4" bestFit="1" customWidth="1"/>
    <col min="18" max="18" width="10.5546875" style="4" bestFit="1" customWidth="1"/>
    <col min="19" max="21" width="10.5546875" style="6" bestFit="1" customWidth="1"/>
    <col min="22" max="22" width="11" style="6" bestFit="1" customWidth="1"/>
    <col min="23" max="25" width="10.5546875" style="6" bestFit="1" customWidth="1"/>
    <col min="26" max="26" width="12.109375" style="6" bestFit="1" customWidth="1"/>
    <col min="27" max="27" width="13" style="6" bestFit="1" customWidth="1"/>
    <col min="28" max="16384" width="8.88671875" style="2"/>
  </cols>
  <sheetData>
    <row r="1" spans="1:27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9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x14ac:dyDescent="0.2">
      <c r="A2" s="2" t="s">
        <v>27</v>
      </c>
      <c r="B2" s="4">
        <v>32423.05891</v>
      </c>
      <c r="C2" s="4">
        <v>0</v>
      </c>
      <c r="D2" s="4">
        <v>0</v>
      </c>
      <c r="E2" s="4">
        <v>32423.05891</v>
      </c>
      <c r="F2" s="4">
        <v>32423.05891</v>
      </c>
      <c r="I2" s="8">
        <v>878</v>
      </c>
      <c r="J2" s="8">
        <v>0</v>
      </c>
      <c r="K2" s="8">
        <v>0</v>
      </c>
      <c r="L2" s="8">
        <v>878</v>
      </c>
      <c r="M2" s="8">
        <v>878</v>
      </c>
      <c r="P2" s="4">
        <v>36.928313109339413</v>
      </c>
      <c r="W2" s="6">
        <v>0.2378793512792593</v>
      </c>
      <c r="Z2" s="6" t="s">
        <v>28</v>
      </c>
      <c r="AA2" s="6" t="s">
        <v>28</v>
      </c>
    </row>
    <row r="3" spans="1:27" x14ac:dyDescent="0.2">
      <c r="A3" s="2" t="s">
        <v>29</v>
      </c>
      <c r="B3" s="4">
        <v>559407.64230000018</v>
      </c>
      <c r="C3" s="4">
        <v>0</v>
      </c>
      <c r="D3" s="4">
        <v>0</v>
      </c>
      <c r="E3" s="4">
        <v>559407.64230000018</v>
      </c>
      <c r="F3" s="4">
        <v>559407.64230000018</v>
      </c>
      <c r="I3" s="8">
        <v>2833</v>
      </c>
      <c r="J3" s="8">
        <v>0</v>
      </c>
      <c r="K3" s="8">
        <v>0</v>
      </c>
      <c r="L3" s="8">
        <v>2833</v>
      </c>
      <c r="M3" s="8">
        <v>2833</v>
      </c>
      <c r="P3" s="4">
        <v>197.46122213201559</v>
      </c>
      <c r="W3" s="6">
        <v>0.29452691586870039</v>
      </c>
      <c r="Z3" s="6" t="s">
        <v>28</v>
      </c>
      <c r="AA3" s="6" t="s">
        <v>28</v>
      </c>
    </row>
    <row r="4" spans="1:27" x14ac:dyDescent="0.2">
      <c r="A4" s="2" t="s">
        <v>30</v>
      </c>
      <c r="B4" s="4">
        <v>615310.4694399999</v>
      </c>
      <c r="C4" s="4">
        <v>0</v>
      </c>
      <c r="D4" s="4">
        <v>0</v>
      </c>
      <c r="E4" s="4">
        <v>615310.4694399999</v>
      </c>
      <c r="F4" s="4">
        <v>615310.4694399999</v>
      </c>
      <c r="I4" s="8">
        <v>1767</v>
      </c>
      <c r="J4" s="8">
        <v>0</v>
      </c>
      <c r="K4" s="8">
        <v>0</v>
      </c>
      <c r="L4" s="8">
        <v>1767</v>
      </c>
      <c r="M4" s="8">
        <v>1767</v>
      </c>
      <c r="P4" s="4">
        <v>348.22324246745887</v>
      </c>
      <c r="W4" s="6">
        <v>0.30147727286166148</v>
      </c>
      <c r="Z4" s="6" t="s">
        <v>28</v>
      </c>
      <c r="AA4" s="6" t="s">
        <v>28</v>
      </c>
    </row>
    <row r="5" spans="1:27" x14ac:dyDescent="0.2">
      <c r="A5" s="2" t="s">
        <v>31</v>
      </c>
      <c r="B5" s="4">
        <v>856539.62230000016</v>
      </c>
      <c r="C5" s="4">
        <v>0</v>
      </c>
      <c r="D5" s="4">
        <v>0</v>
      </c>
      <c r="E5" s="4">
        <v>856539.62230000016</v>
      </c>
      <c r="F5" s="4">
        <v>856539.62230000016</v>
      </c>
      <c r="I5" s="8">
        <v>1597</v>
      </c>
      <c r="J5" s="8">
        <v>0</v>
      </c>
      <c r="K5" s="8">
        <v>0</v>
      </c>
      <c r="L5" s="8">
        <v>1597</v>
      </c>
      <c r="M5" s="8">
        <v>1597</v>
      </c>
      <c r="P5" s="4">
        <v>536.34290688791498</v>
      </c>
      <c r="W5" s="6">
        <v>0.21795541068923649</v>
      </c>
      <c r="Z5" s="6" t="s">
        <v>28</v>
      </c>
      <c r="AA5" s="6" t="s">
        <v>28</v>
      </c>
    </row>
    <row r="6" spans="1:27" x14ac:dyDescent="0.2">
      <c r="A6" s="2" t="s">
        <v>32</v>
      </c>
      <c r="B6" s="4">
        <v>227399.14794</v>
      </c>
      <c r="C6" s="4">
        <v>0</v>
      </c>
      <c r="D6" s="4">
        <v>0</v>
      </c>
      <c r="E6" s="4">
        <v>227399.14794</v>
      </c>
      <c r="F6" s="4">
        <v>227399.14794</v>
      </c>
      <c r="I6" s="8">
        <v>253</v>
      </c>
      <c r="J6" s="8">
        <v>0</v>
      </c>
      <c r="K6" s="8">
        <v>0</v>
      </c>
      <c r="L6" s="8">
        <v>253</v>
      </c>
      <c r="M6" s="8">
        <v>253</v>
      </c>
      <c r="P6" s="4">
        <v>898.81086142292486</v>
      </c>
      <c r="W6" s="6">
        <v>0.46546777153240732</v>
      </c>
      <c r="Z6" s="6" t="s">
        <v>28</v>
      </c>
      <c r="AA6" s="6" t="s">
        <v>28</v>
      </c>
    </row>
    <row r="7" spans="1:27" x14ac:dyDescent="0.2">
      <c r="A7" s="2" t="s">
        <v>33</v>
      </c>
      <c r="B7" s="4">
        <v>147664.87963000001</v>
      </c>
      <c r="C7" s="4">
        <v>0</v>
      </c>
      <c r="D7" s="4">
        <v>0</v>
      </c>
      <c r="E7" s="4">
        <v>147664.87963000001</v>
      </c>
      <c r="F7" s="4">
        <v>147664.87963000001</v>
      </c>
      <c r="I7" s="8">
        <v>140</v>
      </c>
      <c r="J7" s="8">
        <v>0</v>
      </c>
      <c r="K7" s="8">
        <v>0</v>
      </c>
      <c r="L7" s="8">
        <v>140</v>
      </c>
      <c r="M7" s="8">
        <v>140</v>
      </c>
      <c r="P7" s="4">
        <v>1054.749140214285</v>
      </c>
      <c r="W7" s="6">
        <v>0.38999923376702522</v>
      </c>
      <c r="Z7" s="6" t="s">
        <v>28</v>
      </c>
      <c r="AA7" s="6" t="s">
        <v>28</v>
      </c>
    </row>
    <row r="8" spans="1:27" x14ac:dyDescent="0.2">
      <c r="A8" s="2" t="s">
        <v>34</v>
      </c>
      <c r="B8" s="4">
        <v>78625.941489999997</v>
      </c>
      <c r="C8" s="4">
        <v>0</v>
      </c>
      <c r="D8" s="4">
        <v>0</v>
      </c>
      <c r="E8" s="4">
        <v>78625.941489999997</v>
      </c>
      <c r="F8" s="4">
        <v>78625.941489999997</v>
      </c>
      <c r="I8" s="8">
        <v>52</v>
      </c>
      <c r="J8" s="8">
        <v>0</v>
      </c>
      <c r="K8" s="8">
        <v>0</v>
      </c>
      <c r="L8" s="8">
        <v>52</v>
      </c>
      <c r="M8" s="8">
        <v>52</v>
      </c>
      <c r="P8" s="4">
        <v>1512.037336346154</v>
      </c>
      <c r="W8" s="6">
        <v>0.25257759606637942</v>
      </c>
      <c r="Z8" s="6" t="s">
        <v>28</v>
      </c>
      <c r="AA8" s="6" t="s">
        <v>28</v>
      </c>
    </row>
    <row r="9" spans="1:27" x14ac:dyDescent="0.2">
      <c r="A9" s="2" t="s">
        <v>35</v>
      </c>
      <c r="B9" s="4">
        <v>13549.42786</v>
      </c>
      <c r="C9" s="4">
        <v>0</v>
      </c>
      <c r="D9" s="4">
        <v>0</v>
      </c>
      <c r="E9" s="4">
        <v>13549.42786</v>
      </c>
      <c r="F9" s="4">
        <v>13549.42786</v>
      </c>
      <c r="I9" s="8">
        <v>4</v>
      </c>
      <c r="J9" s="8">
        <v>0</v>
      </c>
      <c r="K9" s="8">
        <v>0</v>
      </c>
      <c r="L9" s="8">
        <v>4</v>
      </c>
      <c r="M9" s="8">
        <v>4</v>
      </c>
      <c r="P9" s="4">
        <v>3387.3569649999999</v>
      </c>
      <c r="W9" s="6">
        <v>0.1794925582931588</v>
      </c>
      <c r="Z9" s="6" t="s">
        <v>28</v>
      </c>
      <c r="AA9" s="6" t="s">
        <v>28</v>
      </c>
    </row>
    <row r="10" spans="1:27" x14ac:dyDescent="0.2">
      <c r="A10" s="2" t="s">
        <v>36</v>
      </c>
      <c r="B10" s="4">
        <v>1221.0835</v>
      </c>
      <c r="C10" s="4">
        <v>0</v>
      </c>
      <c r="D10" s="4">
        <v>0</v>
      </c>
      <c r="E10" s="4">
        <v>1221.0835</v>
      </c>
      <c r="F10" s="4">
        <v>1221.0835</v>
      </c>
      <c r="I10" s="8">
        <v>78</v>
      </c>
      <c r="J10" s="8">
        <v>0</v>
      </c>
      <c r="K10" s="8">
        <v>0</v>
      </c>
      <c r="L10" s="8">
        <v>78</v>
      </c>
      <c r="M10" s="8">
        <v>78</v>
      </c>
      <c r="P10" s="4">
        <v>15.65491666666667</v>
      </c>
      <c r="W10" s="6">
        <v>0.37519045994807082</v>
      </c>
      <c r="Z10" s="6" t="s">
        <v>28</v>
      </c>
      <c r="AA10" s="6" t="s">
        <v>28</v>
      </c>
    </row>
    <row r="11" spans="1:27" x14ac:dyDescent="0.2">
      <c r="A11" s="2" t="s">
        <v>37</v>
      </c>
      <c r="B11" s="4">
        <v>2532141.273370001</v>
      </c>
      <c r="C11" s="4">
        <v>0</v>
      </c>
      <c r="D11" s="4">
        <v>0</v>
      </c>
      <c r="E11" s="4">
        <v>2532141.273370001</v>
      </c>
      <c r="F11" s="4">
        <v>2532141.273370001</v>
      </c>
      <c r="I11" s="8">
        <v>7602</v>
      </c>
      <c r="J11" s="8">
        <v>0</v>
      </c>
      <c r="K11" s="8">
        <v>0</v>
      </c>
      <c r="L11" s="8">
        <v>7602</v>
      </c>
      <c r="M11" s="8">
        <v>7602</v>
      </c>
      <c r="P11" s="4">
        <v>333.08882838332028</v>
      </c>
      <c r="W11" s="6">
        <v>0.28862861449958599</v>
      </c>
      <c r="Z11" s="6" t="s">
        <v>28</v>
      </c>
      <c r="AA11" s="6" t="s">
        <v>28</v>
      </c>
    </row>
    <row r="13" spans="1:27" x14ac:dyDescent="0.2">
      <c r="A13" s="2" t="s">
        <v>38</v>
      </c>
    </row>
    <row r="15" spans="1:27" x14ac:dyDescent="0.2">
      <c r="A15" s="1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7" t="s">
        <v>8</v>
      </c>
      <c r="J15" s="7" t="s">
        <v>9</v>
      </c>
      <c r="K15" s="7" t="s">
        <v>10</v>
      </c>
      <c r="L15" s="7" t="s">
        <v>11</v>
      </c>
      <c r="M15" s="7" t="s">
        <v>12</v>
      </c>
      <c r="N15" s="9" t="s">
        <v>13</v>
      </c>
      <c r="O15" s="9" t="s">
        <v>14</v>
      </c>
      <c r="P15" s="3" t="s">
        <v>15</v>
      </c>
      <c r="Q15" s="3" t="s">
        <v>16</v>
      </c>
      <c r="R15" s="3" t="s">
        <v>17</v>
      </c>
      <c r="S15" s="5" t="s">
        <v>18</v>
      </c>
      <c r="T15" s="5" t="s">
        <v>19</v>
      </c>
      <c r="U15" s="5" t="s">
        <v>20</v>
      </c>
      <c r="V15" s="5" t="s">
        <v>21</v>
      </c>
      <c r="W15" s="5" t="s">
        <v>22</v>
      </c>
      <c r="X15" s="5" t="s">
        <v>23</v>
      </c>
      <c r="Y15" s="5" t="s">
        <v>24</v>
      </c>
      <c r="Z15" s="5" t="s">
        <v>25</v>
      </c>
      <c r="AA15" s="5" t="s">
        <v>26</v>
      </c>
    </row>
    <row r="16" spans="1:27" x14ac:dyDescent="0.2">
      <c r="A16" s="2" t="s">
        <v>27</v>
      </c>
      <c r="B16" s="4">
        <v>102782.46359</v>
      </c>
      <c r="C16" s="4">
        <v>32423.058910000011</v>
      </c>
      <c r="D16" s="4">
        <v>0</v>
      </c>
      <c r="E16" s="4">
        <v>70359.404680000007</v>
      </c>
      <c r="F16" s="4">
        <v>102782.46359</v>
      </c>
      <c r="G16" s="4">
        <v>2.1700421565807151</v>
      </c>
      <c r="I16" s="8">
        <v>2613</v>
      </c>
      <c r="J16" s="8">
        <v>878</v>
      </c>
      <c r="K16" s="8">
        <v>0</v>
      </c>
      <c r="L16" s="8">
        <v>1735</v>
      </c>
      <c r="M16" s="8">
        <v>2613</v>
      </c>
      <c r="N16" s="10">
        <v>1.976082004555809</v>
      </c>
      <c r="P16" s="4">
        <v>39.335041557596639</v>
      </c>
      <c r="Q16" s="4">
        <v>36.928313109339427</v>
      </c>
      <c r="S16" s="6">
        <v>2.406728448257212</v>
      </c>
      <c r="U16" s="6">
        <v>6.5172986405613351E-2</v>
      </c>
      <c r="W16" s="6">
        <v>0.22645912208183949</v>
      </c>
      <c r="X16" s="6">
        <v>0.23787935127925919</v>
      </c>
      <c r="Z16" s="6">
        <v>-4.8008493112177697E-2</v>
      </c>
      <c r="AA16" s="6" t="s">
        <v>28</v>
      </c>
    </row>
    <row r="17" spans="1:27" x14ac:dyDescent="0.2">
      <c r="A17" s="2" t="s">
        <v>29</v>
      </c>
      <c r="B17" s="4">
        <v>2268954.9664799999</v>
      </c>
      <c r="C17" s="4">
        <v>559407.64230000018</v>
      </c>
      <c r="D17" s="4">
        <v>0</v>
      </c>
      <c r="E17" s="4">
        <v>1709547.32418</v>
      </c>
      <c r="F17" s="4">
        <v>2268954.9664799999</v>
      </c>
      <c r="G17" s="4">
        <v>3.0559956548881049</v>
      </c>
      <c r="I17" s="8">
        <v>11598</v>
      </c>
      <c r="J17" s="8">
        <v>2833</v>
      </c>
      <c r="K17" s="8">
        <v>0</v>
      </c>
      <c r="L17" s="8">
        <v>8765</v>
      </c>
      <c r="M17" s="8">
        <v>11598</v>
      </c>
      <c r="N17" s="10">
        <v>3.0938933992234379</v>
      </c>
      <c r="P17" s="4">
        <v>195.6332959544749</v>
      </c>
      <c r="Q17" s="4">
        <v>197.46122213201559</v>
      </c>
      <c r="S17" s="6">
        <v>-1.827926177540689</v>
      </c>
      <c r="U17" s="6">
        <v>-9.2571399984479105E-3</v>
      </c>
      <c r="W17" s="6">
        <v>0.27965868821292572</v>
      </c>
      <c r="X17" s="6">
        <v>0.29452691586870028</v>
      </c>
      <c r="Z17" s="6">
        <v>-5.0481728000719983E-2</v>
      </c>
      <c r="AA17" s="6" t="s">
        <v>28</v>
      </c>
    </row>
    <row r="18" spans="1:27" x14ac:dyDescent="0.2">
      <c r="A18" s="2" t="s">
        <v>30</v>
      </c>
      <c r="B18" s="4">
        <v>2884099.4778399989</v>
      </c>
      <c r="C18" s="4">
        <v>615310.46944000013</v>
      </c>
      <c r="D18" s="4">
        <v>0</v>
      </c>
      <c r="E18" s="4">
        <v>2268789.0083999988</v>
      </c>
      <c r="F18" s="4">
        <v>2884099.4778399989</v>
      </c>
      <c r="G18" s="4">
        <v>3.6872264020874619</v>
      </c>
      <c r="I18" s="8">
        <v>9070</v>
      </c>
      <c r="J18" s="8">
        <v>1767</v>
      </c>
      <c r="K18" s="8">
        <v>0</v>
      </c>
      <c r="L18" s="8">
        <v>7303</v>
      </c>
      <c r="M18" s="8">
        <v>9070</v>
      </c>
      <c r="N18" s="10">
        <v>4.1329937747594796</v>
      </c>
      <c r="P18" s="4">
        <v>317.98230185667018</v>
      </c>
      <c r="Q18" s="4">
        <v>348.22324246745899</v>
      </c>
      <c r="S18" s="6">
        <v>-30.240940610788812</v>
      </c>
      <c r="U18" s="6">
        <v>-8.6843544378330181E-2</v>
      </c>
      <c r="W18" s="6">
        <v>0.27782168307873101</v>
      </c>
      <c r="X18" s="6">
        <v>0.30147727286166148</v>
      </c>
      <c r="Z18" s="6">
        <v>-7.8465582358459698E-2</v>
      </c>
      <c r="AA18" s="6" t="s">
        <v>28</v>
      </c>
    </row>
    <row r="19" spans="1:27" x14ac:dyDescent="0.2">
      <c r="A19" s="2" t="s">
        <v>31</v>
      </c>
      <c r="B19" s="4">
        <v>3904348.4355099988</v>
      </c>
      <c r="C19" s="4">
        <v>856539.62230000016</v>
      </c>
      <c r="D19" s="4">
        <v>0</v>
      </c>
      <c r="E19" s="4">
        <v>3047808.813209998</v>
      </c>
      <c r="F19" s="4">
        <v>3904348.4355099988</v>
      </c>
      <c r="G19" s="4">
        <v>3.5582811744609679</v>
      </c>
      <c r="I19" s="8">
        <v>8110</v>
      </c>
      <c r="J19" s="8">
        <v>1597</v>
      </c>
      <c r="K19" s="8">
        <v>0</v>
      </c>
      <c r="L19" s="8">
        <v>6513</v>
      </c>
      <c r="M19" s="8">
        <v>8110</v>
      </c>
      <c r="N19" s="10">
        <v>4.0782717595491551</v>
      </c>
      <c r="P19" s="4">
        <v>481.4239747854499</v>
      </c>
      <c r="Q19" s="4">
        <v>536.34290688791498</v>
      </c>
      <c r="S19" s="6">
        <v>-54.918932102465078</v>
      </c>
      <c r="U19" s="6">
        <v>-0.1023951867306824</v>
      </c>
      <c r="W19" s="6">
        <v>0.23185863948429861</v>
      </c>
      <c r="X19" s="6">
        <v>0.21795541068923691</v>
      </c>
      <c r="Z19" s="6">
        <v>6.3789326225468512E-2</v>
      </c>
      <c r="AA19" s="6" t="s">
        <v>28</v>
      </c>
    </row>
    <row r="20" spans="1:27" x14ac:dyDescent="0.2">
      <c r="A20" s="2" t="s">
        <v>32</v>
      </c>
      <c r="B20" s="4">
        <v>1924390.7907499999</v>
      </c>
      <c r="C20" s="4">
        <v>227399.14794</v>
      </c>
      <c r="D20" s="4">
        <v>0</v>
      </c>
      <c r="E20" s="4">
        <v>1696991.6428100001</v>
      </c>
      <c r="F20" s="4">
        <v>1924390.7907499999</v>
      </c>
      <c r="G20" s="4">
        <v>7.4626121433742449</v>
      </c>
      <c r="I20" s="8">
        <v>3004</v>
      </c>
      <c r="J20" s="8">
        <v>253</v>
      </c>
      <c r="K20" s="8">
        <v>0</v>
      </c>
      <c r="L20" s="8">
        <v>2751</v>
      </c>
      <c r="M20" s="8">
        <v>3004</v>
      </c>
      <c r="N20" s="10">
        <v>10.873517786561271</v>
      </c>
      <c r="P20" s="4">
        <v>640.6094509820241</v>
      </c>
      <c r="Q20" s="4">
        <v>898.81086142292486</v>
      </c>
      <c r="S20" s="6">
        <v>-258.20141044090082</v>
      </c>
      <c r="U20" s="6">
        <v>-0.28727001588758849</v>
      </c>
      <c r="W20" s="6">
        <v>0.37667812236697112</v>
      </c>
      <c r="X20" s="6">
        <v>0.4654677715324072</v>
      </c>
      <c r="Z20" s="6">
        <v>-0.1907535915389458</v>
      </c>
      <c r="AA20" s="6" t="s">
        <v>28</v>
      </c>
    </row>
    <row r="21" spans="1:27" x14ac:dyDescent="0.2">
      <c r="A21" s="2" t="s">
        <v>33</v>
      </c>
      <c r="B21" s="4">
        <v>1317365.5153300001</v>
      </c>
      <c r="C21" s="4">
        <v>147664.87963000001</v>
      </c>
      <c r="D21" s="4">
        <v>0</v>
      </c>
      <c r="E21" s="4">
        <v>1169700.6357</v>
      </c>
      <c r="F21" s="4">
        <v>1317365.5153300001</v>
      </c>
      <c r="G21" s="4">
        <v>7.921319129036557</v>
      </c>
      <c r="I21" s="8">
        <v>1495</v>
      </c>
      <c r="J21" s="8">
        <v>140</v>
      </c>
      <c r="K21" s="8">
        <v>0</v>
      </c>
      <c r="L21" s="8">
        <v>1355</v>
      </c>
      <c r="M21" s="8">
        <v>1495</v>
      </c>
      <c r="N21" s="10">
        <v>9.6785714285714288</v>
      </c>
      <c r="P21" s="4">
        <v>881.18094670902997</v>
      </c>
      <c r="Q21" s="4">
        <v>1054.7491402142859</v>
      </c>
      <c r="S21" s="6">
        <v>-173.56819350525569</v>
      </c>
      <c r="U21" s="6">
        <v>-0.16455874376915169</v>
      </c>
      <c r="W21" s="6">
        <v>0.32392793721574209</v>
      </c>
      <c r="X21" s="6">
        <v>0.38999923376702522</v>
      </c>
      <c r="Z21" s="6">
        <v>-0.1694139137482312</v>
      </c>
      <c r="AA21" s="6" t="s">
        <v>28</v>
      </c>
    </row>
    <row r="22" spans="1:27" x14ac:dyDescent="0.2">
      <c r="A22" s="2" t="s">
        <v>34</v>
      </c>
      <c r="B22" s="4">
        <v>157662.46015</v>
      </c>
      <c r="C22" s="4">
        <v>78625.941489999997</v>
      </c>
      <c r="D22" s="4">
        <v>0</v>
      </c>
      <c r="E22" s="4">
        <v>79036.518660000002</v>
      </c>
      <c r="F22" s="4">
        <v>157662.46015</v>
      </c>
      <c r="G22" s="4">
        <v>1.005221904656648</v>
      </c>
      <c r="I22" s="8">
        <v>99</v>
      </c>
      <c r="J22" s="8">
        <v>52</v>
      </c>
      <c r="K22" s="8">
        <v>0</v>
      </c>
      <c r="L22" s="8">
        <v>47</v>
      </c>
      <c r="M22" s="8">
        <v>99</v>
      </c>
      <c r="N22" s="10">
        <v>0.90384615384615385</v>
      </c>
      <c r="P22" s="4">
        <v>1592.550102525252</v>
      </c>
      <c r="Q22" s="4">
        <v>1512.037336346154</v>
      </c>
      <c r="S22" s="6">
        <v>80.512766179098662</v>
      </c>
      <c r="U22" s="6">
        <v>5.3247869112583023E-2</v>
      </c>
      <c r="W22" s="6">
        <v>0.28000271857993081</v>
      </c>
      <c r="X22" s="6">
        <v>0.25257759606637931</v>
      </c>
      <c r="Z22" s="6">
        <v>0.1085809784425376</v>
      </c>
      <c r="AA22" s="6" t="s">
        <v>28</v>
      </c>
    </row>
    <row r="23" spans="1:27" x14ac:dyDescent="0.2">
      <c r="A23" s="2" t="s">
        <v>35</v>
      </c>
      <c r="B23" s="4">
        <v>48861.509859999998</v>
      </c>
      <c r="C23" s="4">
        <v>13549.42786</v>
      </c>
      <c r="D23" s="4">
        <v>0</v>
      </c>
      <c r="E23" s="4">
        <v>35312.081999999988</v>
      </c>
      <c r="F23" s="4">
        <v>48861.509859999998</v>
      </c>
      <c r="G23" s="4">
        <v>2.6061677559276659</v>
      </c>
      <c r="I23" s="8">
        <v>15</v>
      </c>
      <c r="J23" s="8">
        <v>4</v>
      </c>
      <c r="K23" s="8">
        <v>0</v>
      </c>
      <c r="L23" s="8">
        <v>11</v>
      </c>
      <c r="M23" s="8">
        <v>15</v>
      </c>
      <c r="N23" s="10">
        <v>2.75</v>
      </c>
      <c r="P23" s="4">
        <v>3257.433990666666</v>
      </c>
      <c r="Q23" s="4">
        <v>3387.3569649999999</v>
      </c>
      <c r="S23" s="6">
        <v>-129.92297433333351</v>
      </c>
      <c r="U23" s="6">
        <v>-3.8355265085955742E-2</v>
      </c>
      <c r="W23" s="6">
        <v>0.1028994577614552</v>
      </c>
      <c r="X23" s="6">
        <v>0.1794925582931588</v>
      </c>
      <c r="Z23" s="6">
        <v>-0.42672020088212698</v>
      </c>
      <c r="AA23" s="6" t="s">
        <v>28</v>
      </c>
    </row>
    <row r="24" spans="1:27" x14ac:dyDescent="0.2">
      <c r="A24" s="2" t="s">
        <v>36</v>
      </c>
      <c r="B24" s="4">
        <v>9598.3576999999987</v>
      </c>
      <c r="C24" s="4">
        <v>1221.0835</v>
      </c>
      <c r="D24" s="4">
        <v>0</v>
      </c>
      <c r="E24" s="4">
        <v>8377.274199999998</v>
      </c>
      <c r="F24" s="4">
        <v>9598.3576999999987</v>
      </c>
      <c r="G24" s="4">
        <v>6.8605252630143623</v>
      </c>
      <c r="I24" s="8">
        <v>361</v>
      </c>
      <c r="J24" s="8">
        <v>78</v>
      </c>
      <c r="K24" s="8">
        <v>0</v>
      </c>
      <c r="L24" s="8">
        <v>283</v>
      </c>
      <c r="M24" s="8">
        <v>361</v>
      </c>
      <c r="N24" s="10">
        <v>3.6282051282051282</v>
      </c>
      <c r="P24" s="4">
        <v>26.588248476454289</v>
      </c>
      <c r="Q24" s="4">
        <v>15.65491666666667</v>
      </c>
      <c r="S24" s="6">
        <v>10.933331809787621</v>
      </c>
      <c r="U24" s="6">
        <v>0.69839604020808943</v>
      </c>
      <c r="W24" s="6">
        <v>0.26032387082219299</v>
      </c>
      <c r="X24" s="6">
        <v>0.37519045994807071</v>
      </c>
      <c r="Z24" s="6">
        <v>-0.30615541008632302</v>
      </c>
      <c r="AA24" s="6" t="s">
        <v>28</v>
      </c>
    </row>
    <row r="25" spans="1:27" x14ac:dyDescent="0.2">
      <c r="A25" s="2" t="s">
        <v>37</v>
      </c>
      <c r="B25" s="4">
        <v>12618063.97721</v>
      </c>
      <c r="C25" s="4">
        <v>2532141.273370001</v>
      </c>
      <c r="D25" s="4">
        <v>0</v>
      </c>
      <c r="E25" s="4">
        <v>10085922.703839989</v>
      </c>
      <c r="F25" s="4">
        <v>12618063.97721</v>
      </c>
      <c r="G25" s="4">
        <v>3.983159553501824</v>
      </c>
      <c r="I25" s="8">
        <v>36365</v>
      </c>
      <c r="J25" s="8">
        <v>7602</v>
      </c>
      <c r="K25" s="8">
        <v>0</v>
      </c>
      <c r="L25" s="8">
        <v>28763</v>
      </c>
      <c r="M25" s="8">
        <v>36365</v>
      </c>
      <c r="N25" s="10">
        <v>3.7836095764272559</v>
      </c>
      <c r="P25" s="4">
        <v>346.98374748274432</v>
      </c>
      <c r="Q25" s="4">
        <v>333.08882838332028</v>
      </c>
      <c r="S25" s="6">
        <v>13.894919099423991</v>
      </c>
      <c r="U25" s="6">
        <v>4.171535613146906E-2</v>
      </c>
      <c r="W25" s="6">
        <v>0.28273839120990402</v>
      </c>
      <c r="X25" s="6">
        <v>0.28862861449958632</v>
      </c>
      <c r="Z25" s="6">
        <v>-2.0407620706264711E-2</v>
      </c>
      <c r="AA25" s="6" t="s">
        <v>28</v>
      </c>
    </row>
    <row r="27" spans="1:27" x14ac:dyDescent="0.2">
      <c r="A27" s="2" t="s">
        <v>39</v>
      </c>
    </row>
    <row r="29" spans="1:27" x14ac:dyDescent="0.2">
      <c r="A29" s="1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7" t="s">
        <v>8</v>
      </c>
      <c r="J29" s="7" t="s">
        <v>9</v>
      </c>
      <c r="K29" s="7" t="s">
        <v>10</v>
      </c>
      <c r="L29" s="7" t="s">
        <v>11</v>
      </c>
      <c r="M29" s="7" t="s">
        <v>12</v>
      </c>
      <c r="N29" s="9" t="s">
        <v>13</v>
      </c>
      <c r="O29" s="9" t="s">
        <v>14</v>
      </c>
      <c r="P29" s="3" t="s">
        <v>15</v>
      </c>
      <c r="Q29" s="3" t="s">
        <v>16</v>
      </c>
      <c r="R29" s="3" t="s">
        <v>17</v>
      </c>
      <c r="S29" s="5" t="s">
        <v>18</v>
      </c>
      <c r="T29" s="5" t="s">
        <v>19</v>
      </c>
      <c r="U29" s="5" t="s">
        <v>20</v>
      </c>
      <c r="V29" s="5" t="s">
        <v>21</v>
      </c>
      <c r="W29" s="5" t="s">
        <v>22</v>
      </c>
      <c r="X29" s="5" t="s">
        <v>23</v>
      </c>
      <c r="Y29" s="5" t="s">
        <v>24</v>
      </c>
      <c r="Z29" s="5" t="s">
        <v>25</v>
      </c>
      <c r="AA29" s="5" t="s">
        <v>26</v>
      </c>
    </row>
    <row r="30" spans="1:27" x14ac:dyDescent="0.2">
      <c r="A30" s="2" t="s">
        <v>27</v>
      </c>
      <c r="B30" s="4">
        <v>14035.3848</v>
      </c>
      <c r="C30" s="4">
        <v>102782.46359</v>
      </c>
      <c r="D30" s="4">
        <v>32423.05891</v>
      </c>
      <c r="E30" s="4">
        <v>-88747.078789999956</v>
      </c>
      <c r="F30" s="4">
        <v>-18387.67411</v>
      </c>
      <c r="G30" s="4">
        <v>-0.86344572498293815</v>
      </c>
      <c r="H30" s="4">
        <v>-0.56711719153459728</v>
      </c>
      <c r="I30" s="8">
        <v>516</v>
      </c>
      <c r="J30" s="8">
        <v>2613</v>
      </c>
      <c r="K30" s="8">
        <v>878</v>
      </c>
      <c r="L30" s="8">
        <v>-2097</v>
      </c>
      <c r="M30" s="8">
        <v>-362</v>
      </c>
      <c r="N30" s="10">
        <v>-0.8025258323765786</v>
      </c>
      <c r="O30" s="10">
        <v>-0.41230068337129838</v>
      </c>
      <c r="P30" s="4">
        <v>27.200358139534881</v>
      </c>
      <c r="Q30" s="4">
        <v>39.335041557596618</v>
      </c>
      <c r="R30" s="4">
        <v>36.928313109339413</v>
      </c>
      <c r="S30" s="6">
        <v>-12.13468341806173</v>
      </c>
      <c r="T30" s="6">
        <v>-9.7279549698045216</v>
      </c>
      <c r="U30" s="6">
        <v>-0.30849550267522752</v>
      </c>
      <c r="V30" s="6">
        <v>-0.26342808947165958</v>
      </c>
      <c r="W30" s="6">
        <v>0.2051599853535899</v>
      </c>
      <c r="X30" s="6">
        <v>0.22645912208183919</v>
      </c>
      <c r="Y30" s="6">
        <v>0.23787935127925899</v>
      </c>
      <c r="Z30" s="6">
        <v>-9.4052898079116015E-2</v>
      </c>
      <c r="AA30" s="6">
        <v>-0.1375460532816829</v>
      </c>
    </row>
    <row r="31" spans="1:27" x14ac:dyDescent="0.2">
      <c r="A31" s="2" t="s">
        <v>29</v>
      </c>
      <c r="B31" s="4">
        <v>2036266.608720002</v>
      </c>
      <c r="C31" s="4">
        <v>2268954.9664799999</v>
      </c>
      <c r="D31" s="4">
        <v>559407.6423000003</v>
      </c>
      <c r="E31" s="4">
        <v>-232688.35775999821</v>
      </c>
      <c r="F31" s="4">
        <v>1476858.9664200009</v>
      </c>
      <c r="G31" s="4">
        <v>-0.102553096556599</v>
      </c>
      <c r="H31" s="4">
        <v>2.6400407408592179</v>
      </c>
      <c r="I31" s="8">
        <v>8162</v>
      </c>
      <c r="J31" s="8">
        <v>11598</v>
      </c>
      <c r="K31" s="8">
        <v>2833</v>
      </c>
      <c r="L31" s="8">
        <v>-3436</v>
      </c>
      <c r="M31" s="8">
        <v>5329</v>
      </c>
      <c r="N31" s="10">
        <v>-0.29625797551301952</v>
      </c>
      <c r="O31" s="10">
        <v>1.881044828803389</v>
      </c>
      <c r="P31" s="4">
        <v>249.4813291742222</v>
      </c>
      <c r="Q31" s="4">
        <v>195.6332959544749</v>
      </c>
      <c r="R31" s="4">
        <v>197.46122213201559</v>
      </c>
      <c r="S31" s="6">
        <v>53.848033219747322</v>
      </c>
      <c r="T31" s="6">
        <v>52.020107042206583</v>
      </c>
      <c r="U31" s="6">
        <v>0.27524983902677841</v>
      </c>
      <c r="V31" s="6">
        <v>0.26344467273390898</v>
      </c>
      <c r="W31" s="6">
        <v>0.13798503268519571</v>
      </c>
      <c r="X31" s="6">
        <v>0.27965868821292572</v>
      </c>
      <c r="Y31" s="6">
        <v>0.29452691586870061</v>
      </c>
      <c r="Z31" s="6">
        <v>-0.50659486545207189</v>
      </c>
      <c r="AA31" s="6">
        <v>-0.53150280924847937</v>
      </c>
    </row>
    <row r="32" spans="1:27" x14ac:dyDescent="0.2">
      <c r="A32" s="2" t="s">
        <v>30</v>
      </c>
      <c r="B32" s="4">
        <v>2999027.12053</v>
      </c>
      <c r="C32" s="4">
        <v>2884099.477839998</v>
      </c>
      <c r="D32" s="4">
        <v>615310.46944000013</v>
      </c>
      <c r="E32" s="4">
        <v>114927.642690002</v>
      </c>
      <c r="F32" s="4">
        <v>2383716.6510899998</v>
      </c>
      <c r="G32" s="4">
        <v>3.9848709648557357E-2</v>
      </c>
      <c r="H32" s="4">
        <v>3.8740063260412958</v>
      </c>
      <c r="I32" s="8">
        <v>7614</v>
      </c>
      <c r="J32" s="8">
        <v>9070</v>
      </c>
      <c r="K32" s="8">
        <v>1767</v>
      </c>
      <c r="L32" s="8">
        <v>-1456</v>
      </c>
      <c r="M32" s="8">
        <v>5847</v>
      </c>
      <c r="N32" s="10">
        <v>-0.16052921719955901</v>
      </c>
      <c r="O32" s="10">
        <v>3.3089983022071312</v>
      </c>
      <c r="P32" s="4">
        <v>393.88325722747578</v>
      </c>
      <c r="Q32" s="4">
        <v>317.98230185667018</v>
      </c>
      <c r="R32" s="4">
        <v>348.22324246745899</v>
      </c>
      <c r="S32" s="6">
        <v>75.900955370805605</v>
      </c>
      <c r="T32" s="6">
        <v>45.660014760016743</v>
      </c>
      <c r="U32" s="6">
        <v>0.2386955340835849</v>
      </c>
      <c r="V32" s="6">
        <v>0.13112282349815749</v>
      </c>
      <c r="W32" s="6">
        <v>0.12840254950143579</v>
      </c>
      <c r="X32" s="6">
        <v>0.2778216830787314</v>
      </c>
      <c r="Y32" s="6">
        <v>0.30147727286166193</v>
      </c>
      <c r="Z32" s="6">
        <v>-0.53782387292986034</v>
      </c>
      <c r="AA32" s="6">
        <v>-0.57408879189259621</v>
      </c>
    </row>
    <row r="33" spans="1:27" x14ac:dyDescent="0.2">
      <c r="A33" s="2" t="s">
        <v>31</v>
      </c>
      <c r="B33" s="4">
        <v>2814518.5062500001</v>
      </c>
      <c r="C33" s="4">
        <v>3904348.4355099979</v>
      </c>
      <c r="D33" s="4">
        <v>856539.62229999981</v>
      </c>
      <c r="E33" s="4">
        <v>-1089829.929259998</v>
      </c>
      <c r="F33" s="4">
        <v>1957978.8839499999</v>
      </c>
      <c r="G33" s="4">
        <v>-0.27913234365765338</v>
      </c>
      <c r="H33" s="4">
        <v>2.2859174671831179</v>
      </c>
      <c r="I33" s="8">
        <v>4860</v>
      </c>
      <c r="J33" s="8">
        <v>8110</v>
      </c>
      <c r="K33" s="8">
        <v>1597</v>
      </c>
      <c r="L33" s="8">
        <v>-3250</v>
      </c>
      <c r="M33" s="8">
        <v>3263</v>
      </c>
      <c r="N33" s="10">
        <v>-0.4007398273736128</v>
      </c>
      <c r="O33" s="10">
        <v>2.043206011271133</v>
      </c>
      <c r="P33" s="4">
        <v>579.11903420781891</v>
      </c>
      <c r="Q33" s="4">
        <v>481.42397478544979</v>
      </c>
      <c r="R33" s="4">
        <v>536.34290688791475</v>
      </c>
      <c r="S33" s="6">
        <v>97.69505942236907</v>
      </c>
      <c r="T33" s="6">
        <v>42.776127319904163</v>
      </c>
      <c r="U33" s="6">
        <v>0.20292936068650841</v>
      </c>
      <c r="V33" s="6">
        <v>7.9755184175193242E-2</v>
      </c>
      <c r="W33" s="6">
        <v>0.10762078586705701</v>
      </c>
      <c r="X33" s="6">
        <v>0.23185863948429869</v>
      </c>
      <c r="Y33" s="6">
        <v>0.2179554106892363</v>
      </c>
      <c r="Z33" s="6">
        <v>-0.53583448041260084</v>
      </c>
      <c r="AA33" s="6">
        <v>-0.50622567466102453</v>
      </c>
    </row>
    <row r="34" spans="1:27" x14ac:dyDescent="0.2">
      <c r="A34" s="2" t="s">
        <v>32</v>
      </c>
      <c r="B34" s="4">
        <v>2201233.4896200011</v>
      </c>
      <c r="C34" s="4">
        <v>1924390.7907500011</v>
      </c>
      <c r="D34" s="4">
        <v>227399.14794</v>
      </c>
      <c r="E34" s="4">
        <v>276842.6988700002</v>
      </c>
      <c r="F34" s="4">
        <v>1973834.341680001</v>
      </c>
      <c r="G34" s="4">
        <v>0.143859916707513</v>
      </c>
      <c r="H34" s="4">
        <v>8.6800428214480547</v>
      </c>
      <c r="I34" s="8">
        <v>3355</v>
      </c>
      <c r="J34" s="8">
        <v>3004</v>
      </c>
      <c r="K34" s="8">
        <v>253</v>
      </c>
      <c r="L34" s="8">
        <v>351</v>
      </c>
      <c r="M34" s="8">
        <v>3102</v>
      </c>
      <c r="N34" s="10">
        <v>0.116844207723036</v>
      </c>
      <c r="O34" s="10">
        <v>12.260869565217391</v>
      </c>
      <c r="P34" s="4">
        <v>656.10536203278718</v>
      </c>
      <c r="Q34" s="4">
        <v>640.60945098202421</v>
      </c>
      <c r="R34" s="4">
        <v>898.81086142292475</v>
      </c>
      <c r="S34" s="6">
        <v>15.49591105076297</v>
      </c>
      <c r="T34" s="6">
        <v>-242.70549939013759</v>
      </c>
      <c r="U34" s="6">
        <v>2.4189326315758319E-2</v>
      </c>
      <c r="V34" s="6">
        <v>-0.27002955772686787</v>
      </c>
      <c r="W34" s="6">
        <v>0.19605603738315949</v>
      </c>
      <c r="X34" s="6">
        <v>0.37667812236697101</v>
      </c>
      <c r="Y34" s="6">
        <v>0.46546777153240709</v>
      </c>
      <c r="Z34" s="6">
        <v>-0.47951307564351747</v>
      </c>
      <c r="AA34" s="6">
        <v>-0.57879782581357608</v>
      </c>
    </row>
    <row r="35" spans="1:27" x14ac:dyDescent="0.2">
      <c r="A35" s="2" t="s">
        <v>33</v>
      </c>
      <c r="B35" s="4">
        <v>1528372.0661899999</v>
      </c>
      <c r="C35" s="4">
        <v>1317365.5153299989</v>
      </c>
      <c r="D35" s="4">
        <v>147664.87963000001</v>
      </c>
      <c r="E35" s="4">
        <v>211006.55086000031</v>
      </c>
      <c r="F35" s="4">
        <v>1380707.1865600001</v>
      </c>
      <c r="G35" s="4">
        <v>0.1601731246222452</v>
      </c>
      <c r="H35" s="4">
        <v>9.3502746896865467</v>
      </c>
      <c r="I35" s="8">
        <v>1613</v>
      </c>
      <c r="J35" s="8">
        <v>1495</v>
      </c>
      <c r="K35" s="8">
        <v>140</v>
      </c>
      <c r="L35" s="8">
        <v>118</v>
      </c>
      <c r="M35" s="8">
        <v>1473</v>
      </c>
      <c r="N35" s="10">
        <v>7.8929765886287626E-2</v>
      </c>
      <c r="O35" s="10">
        <v>10.52142857142857</v>
      </c>
      <c r="P35" s="4">
        <v>947.53382900805934</v>
      </c>
      <c r="Q35" s="4">
        <v>881.18094670902974</v>
      </c>
      <c r="R35" s="4">
        <v>1054.7491402142859</v>
      </c>
      <c r="S35" s="6">
        <v>66.352882299029602</v>
      </c>
      <c r="T35" s="6">
        <v>-107.2153112062264</v>
      </c>
      <c r="U35" s="6">
        <v>7.5299951215286154E-2</v>
      </c>
      <c r="V35" s="6">
        <v>-0.10165005793173169</v>
      </c>
      <c r="W35" s="6">
        <v>0.26497064120619412</v>
      </c>
      <c r="X35" s="6">
        <v>0.32392793721574142</v>
      </c>
      <c r="Y35" s="6">
        <v>0.38999923376702522</v>
      </c>
      <c r="Z35" s="6">
        <v>-0.1820074443603201</v>
      </c>
      <c r="AA35" s="6">
        <v>-0.32058676462815772</v>
      </c>
    </row>
    <row r="36" spans="1:27" x14ac:dyDescent="0.2">
      <c r="A36" s="2" t="s">
        <v>34</v>
      </c>
      <c r="B36" s="4">
        <v>266992.75056999997</v>
      </c>
      <c r="C36" s="4">
        <v>157662.46015</v>
      </c>
      <c r="D36" s="4">
        <v>78625.941489999997</v>
      </c>
      <c r="E36" s="4">
        <v>109330.29042</v>
      </c>
      <c r="F36" s="4">
        <v>188366.80908000001</v>
      </c>
      <c r="G36" s="4">
        <v>0.69344529012158784</v>
      </c>
      <c r="H36" s="4">
        <v>2.3957335900894412</v>
      </c>
      <c r="I36" s="8">
        <v>171</v>
      </c>
      <c r="J36" s="8">
        <v>99</v>
      </c>
      <c r="K36" s="8">
        <v>52</v>
      </c>
      <c r="L36" s="8">
        <v>72</v>
      </c>
      <c r="M36" s="8">
        <v>119</v>
      </c>
      <c r="N36" s="10">
        <v>0.72727272727272729</v>
      </c>
      <c r="O36" s="10">
        <v>2.2884615384615379</v>
      </c>
      <c r="P36" s="4">
        <v>1561.3611144444451</v>
      </c>
      <c r="Q36" s="4">
        <v>1592.550102525252</v>
      </c>
      <c r="R36" s="4">
        <v>1512.037336346154</v>
      </c>
      <c r="S36" s="6">
        <v>-31.1889880808078</v>
      </c>
      <c r="T36" s="6">
        <v>49.323778098290859</v>
      </c>
      <c r="U36" s="6">
        <v>-1.958430571908067E-2</v>
      </c>
      <c r="V36" s="6">
        <v>3.2620740845911933E-2</v>
      </c>
      <c r="W36" s="6">
        <v>0.32552754370464848</v>
      </c>
      <c r="X36" s="6">
        <v>0.28000271857993081</v>
      </c>
      <c r="Y36" s="6">
        <v>0.25257759606637931</v>
      </c>
      <c r="Z36" s="6">
        <v>0.16258708256692181</v>
      </c>
      <c r="AA36" s="6">
        <v>0.28882192551669322</v>
      </c>
    </row>
    <row r="37" spans="1:27" x14ac:dyDescent="0.2">
      <c r="A37" s="2" t="s">
        <v>35</v>
      </c>
      <c r="B37" s="4">
        <v>12955.972900000001</v>
      </c>
      <c r="C37" s="4">
        <v>48861.509860000013</v>
      </c>
      <c r="D37" s="4">
        <v>13549.42786</v>
      </c>
      <c r="E37" s="4">
        <v>-35905.536959999998</v>
      </c>
      <c r="F37" s="4">
        <v>-593.45496000000094</v>
      </c>
      <c r="G37" s="4">
        <v>-0.73484296868594556</v>
      </c>
      <c r="H37" s="4">
        <v>-4.3799263417754447E-2</v>
      </c>
      <c r="I37" s="8">
        <v>4</v>
      </c>
      <c r="J37" s="8">
        <v>15</v>
      </c>
      <c r="K37" s="8">
        <v>4</v>
      </c>
      <c r="L37" s="8">
        <v>-11</v>
      </c>
      <c r="M37" s="8">
        <v>0</v>
      </c>
      <c r="N37" s="10">
        <v>-0.73333333333333328</v>
      </c>
      <c r="O37" s="10">
        <v>0</v>
      </c>
      <c r="P37" s="4">
        <v>3238.9932250000002</v>
      </c>
      <c r="Q37" s="4">
        <v>3257.4339906666669</v>
      </c>
      <c r="R37" s="4">
        <v>3387.3569649999999</v>
      </c>
      <c r="S37" s="6">
        <v>-18.440765666667179</v>
      </c>
      <c r="T37" s="6">
        <v>-148.36374000000021</v>
      </c>
      <c r="U37" s="6">
        <v>-5.6611325722959894E-3</v>
      </c>
      <c r="V37" s="6">
        <v>-4.3799263417754447E-2</v>
      </c>
      <c r="W37" s="6">
        <v>0.15372428187156831</v>
      </c>
      <c r="X37" s="6">
        <v>0.1028994577614553</v>
      </c>
      <c r="Y37" s="6">
        <v>0.1794925582931588</v>
      </c>
      <c r="Z37" s="6">
        <v>0.49392703533906451</v>
      </c>
      <c r="AA37" s="6">
        <v>-0.14356180928406029</v>
      </c>
    </row>
    <row r="38" spans="1:27" x14ac:dyDescent="0.2">
      <c r="A38" s="2" t="s">
        <v>36</v>
      </c>
      <c r="B38" s="4">
        <v>443.49428999999998</v>
      </c>
      <c r="C38" s="4">
        <v>9598.3577000000005</v>
      </c>
      <c r="D38" s="4">
        <v>1221.0835</v>
      </c>
      <c r="E38" s="4">
        <v>-9154.8634099999999</v>
      </c>
      <c r="F38" s="4">
        <v>-777.58920999999998</v>
      </c>
      <c r="G38" s="4">
        <v>-0.95379477366216514</v>
      </c>
      <c r="H38" s="4">
        <v>-0.63680265108815248</v>
      </c>
      <c r="I38" s="8">
        <v>38</v>
      </c>
      <c r="J38" s="8">
        <v>361</v>
      </c>
      <c r="K38" s="8">
        <v>78</v>
      </c>
      <c r="L38" s="8">
        <v>-323</v>
      </c>
      <c r="M38" s="8">
        <v>-40</v>
      </c>
      <c r="N38" s="10">
        <v>-0.89473684210526316</v>
      </c>
      <c r="O38" s="10">
        <v>-0.51282051282051277</v>
      </c>
      <c r="P38" s="4">
        <v>11.67090236842105</v>
      </c>
      <c r="Q38" s="4">
        <v>26.5882484764543</v>
      </c>
      <c r="R38" s="4">
        <v>15.65491666666667</v>
      </c>
      <c r="S38" s="6">
        <v>-14.917346108033239</v>
      </c>
      <c r="T38" s="6">
        <v>-3.984014298245615</v>
      </c>
      <c r="U38" s="6">
        <v>-0.56105034979056889</v>
      </c>
      <c r="V38" s="6">
        <v>-0.25448965223357611</v>
      </c>
      <c r="W38" s="6">
        <v>0.30761338550717299</v>
      </c>
      <c r="X38" s="6">
        <v>0.26032387082219272</v>
      </c>
      <c r="Y38" s="6">
        <v>0.37519045994807071</v>
      </c>
      <c r="Z38" s="6">
        <v>0.1816564671369694</v>
      </c>
      <c r="AA38" s="6">
        <v>-0.18011405314050591</v>
      </c>
    </row>
    <row r="39" spans="1:27" x14ac:dyDescent="0.2">
      <c r="A39" s="2" t="s">
        <v>37</v>
      </c>
      <c r="B39" s="4">
        <v>11873845.39387</v>
      </c>
      <c r="C39" s="4">
        <v>12618063.97721</v>
      </c>
      <c r="D39" s="4">
        <v>2532141.273370001</v>
      </c>
      <c r="E39" s="4">
        <v>-744218.58333999477</v>
      </c>
      <c r="F39" s="4">
        <v>9341704.1205000002</v>
      </c>
      <c r="G39" s="4">
        <v>-5.8980409727210019E-2</v>
      </c>
      <c r="H39" s="4">
        <v>3.6892507613002259</v>
      </c>
      <c r="I39" s="8">
        <v>26333</v>
      </c>
      <c r="J39" s="8">
        <v>36365</v>
      </c>
      <c r="K39" s="8">
        <v>7602</v>
      </c>
      <c r="L39" s="8">
        <v>-10032</v>
      </c>
      <c r="M39" s="8">
        <v>18731</v>
      </c>
      <c r="N39" s="10">
        <v>-0.27586965488794168</v>
      </c>
      <c r="O39" s="10">
        <v>2.4639568534596159</v>
      </c>
      <c r="P39" s="4">
        <v>450.91122902327879</v>
      </c>
      <c r="Q39" s="4">
        <v>346.98374748274432</v>
      </c>
      <c r="R39" s="4">
        <v>333.08882838332028</v>
      </c>
      <c r="S39" s="6">
        <v>103.9274815405345</v>
      </c>
      <c r="T39" s="6">
        <v>117.8224006399585</v>
      </c>
      <c r="U39" s="6">
        <v>0.29951685718566079</v>
      </c>
      <c r="V39" s="6">
        <v>0.35372666568200811</v>
      </c>
      <c r="W39" s="6">
        <v>0.15979807561411941</v>
      </c>
      <c r="X39" s="6">
        <v>0.28273839120990402</v>
      </c>
      <c r="Y39" s="6">
        <v>0.28862861449958621</v>
      </c>
      <c r="Z39" s="6">
        <v>-0.43482002946148951</v>
      </c>
      <c r="AA39" s="6">
        <v>-0.44635400793101709</v>
      </c>
    </row>
    <row r="41" spans="1:27" x14ac:dyDescent="0.2">
      <c r="A41" s="2" t="s">
        <v>40</v>
      </c>
    </row>
    <row r="43" spans="1:27" x14ac:dyDescent="0.2">
      <c r="A43" s="1" t="s">
        <v>0</v>
      </c>
      <c r="B43" s="3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7" t="s">
        <v>8</v>
      </c>
      <c r="J43" s="7" t="s">
        <v>9</v>
      </c>
      <c r="K43" s="7" t="s">
        <v>10</v>
      </c>
      <c r="L43" s="7" t="s">
        <v>11</v>
      </c>
      <c r="M43" s="7" t="s">
        <v>12</v>
      </c>
      <c r="N43" s="9" t="s">
        <v>13</v>
      </c>
      <c r="O43" s="9" t="s">
        <v>14</v>
      </c>
      <c r="P43" s="3" t="s">
        <v>15</v>
      </c>
      <c r="Q43" s="3" t="s">
        <v>16</v>
      </c>
      <c r="R43" s="3" t="s">
        <v>17</v>
      </c>
      <c r="S43" s="5" t="s">
        <v>18</v>
      </c>
      <c r="T43" s="5" t="s">
        <v>19</v>
      </c>
      <c r="U43" s="5" t="s">
        <v>20</v>
      </c>
      <c r="V43" s="5" t="s">
        <v>21</v>
      </c>
      <c r="W43" s="5" t="s">
        <v>22</v>
      </c>
      <c r="X43" s="5" t="s">
        <v>23</v>
      </c>
      <c r="Y43" s="5" t="s">
        <v>24</v>
      </c>
      <c r="Z43" s="5" t="s">
        <v>25</v>
      </c>
      <c r="AA43" s="5" t="s">
        <v>26</v>
      </c>
    </row>
    <row r="44" spans="1:27" x14ac:dyDescent="0.2">
      <c r="A44" s="2" t="s">
        <v>27</v>
      </c>
      <c r="B44" s="4">
        <v>8619.2829299999958</v>
      </c>
      <c r="C44" s="4">
        <v>14035.384799999991</v>
      </c>
      <c r="D44" s="4">
        <v>102782.4635899999</v>
      </c>
      <c r="E44" s="4">
        <v>-5416.1018699999968</v>
      </c>
      <c r="F44" s="4">
        <v>-94163.18065999994</v>
      </c>
      <c r="G44" s="4">
        <v>-0.38588909012312927</v>
      </c>
      <c r="H44" s="4">
        <v>-0.9161405299216957</v>
      </c>
      <c r="I44" s="8">
        <v>411</v>
      </c>
      <c r="J44" s="8">
        <v>516</v>
      </c>
      <c r="K44" s="8">
        <v>2613</v>
      </c>
      <c r="L44" s="8">
        <v>-105</v>
      </c>
      <c r="M44" s="8">
        <v>-2202</v>
      </c>
      <c r="N44" s="10">
        <v>-0.20348837209302331</v>
      </c>
      <c r="O44" s="10">
        <v>-0.8427095292766934</v>
      </c>
      <c r="P44" s="4">
        <v>20.971491313868601</v>
      </c>
      <c r="Q44" s="4">
        <v>27.20035813953487</v>
      </c>
      <c r="R44" s="4">
        <v>39.335041557596611</v>
      </c>
      <c r="S44" s="6">
        <v>-6.228866825666266</v>
      </c>
      <c r="T44" s="6">
        <v>-18.36355024372801</v>
      </c>
      <c r="U44" s="6">
        <v>-0.22899944161443969</v>
      </c>
      <c r="V44" s="6">
        <v>-0.46684964643647442</v>
      </c>
      <c r="W44" s="6">
        <v>0.2454051998499597</v>
      </c>
      <c r="X44" s="6">
        <v>0.20515998535358951</v>
      </c>
      <c r="Y44" s="6">
        <v>0.22645912208183891</v>
      </c>
      <c r="Z44" s="6">
        <v>0.1961650290967232</v>
      </c>
      <c r="AA44" s="6">
        <v>8.3662241529285933E-2</v>
      </c>
    </row>
    <row r="45" spans="1:27" x14ac:dyDescent="0.2">
      <c r="A45" s="2" t="s">
        <v>29</v>
      </c>
      <c r="B45" s="4">
        <v>2013109.23175</v>
      </c>
      <c r="C45" s="4">
        <v>2036266.608720002</v>
      </c>
      <c r="D45" s="4">
        <v>2268954.9664800009</v>
      </c>
      <c r="E45" s="4">
        <v>-23157.37697000126</v>
      </c>
      <c r="F45" s="4">
        <v>-255845.7347300011</v>
      </c>
      <c r="G45" s="4">
        <v>-1.137246806033813E-2</v>
      </c>
      <c r="H45" s="4">
        <v>-0.112759282801859</v>
      </c>
      <c r="I45" s="8">
        <v>8846</v>
      </c>
      <c r="J45" s="8">
        <v>8162</v>
      </c>
      <c r="K45" s="8">
        <v>11598</v>
      </c>
      <c r="L45" s="8">
        <v>684</v>
      </c>
      <c r="M45" s="8">
        <v>-2752</v>
      </c>
      <c r="N45" s="10">
        <v>8.3802989463366825E-2</v>
      </c>
      <c r="O45" s="10">
        <v>-0.23728229005000859</v>
      </c>
      <c r="P45" s="4">
        <v>227.57282746439071</v>
      </c>
      <c r="Q45" s="4">
        <v>249.4813291742222</v>
      </c>
      <c r="R45" s="4">
        <v>195.63329595447499</v>
      </c>
      <c r="S45" s="6">
        <v>-21.90850170983148</v>
      </c>
      <c r="T45" s="6">
        <v>31.9395315099157</v>
      </c>
      <c r="U45" s="6">
        <v>-8.7816197638308849E-2</v>
      </c>
      <c r="V45" s="6">
        <v>0.16326224712458051</v>
      </c>
      <c r="W45" s="6">
        <v>0.16220652118620549</v>
      </c>
      <c r="X45" s="6">
        <v>0.13798503268519591</v>
      </c>
      <c r="Y45" s="6">
        <v>0.27965868821292622</v>
      </c>
      <c r="Z45" s="6">
        <v>0.1755370711566184</v>
      </c>
      <c r="AA45" s="6">
        <v>-0.41998397323989151</v>
      </c>
    </row>
    <row r="46" spans="1:27" x14ac:dyDescent="0.2">
      <c r="A46" s="2" t="s">
        <v>30</v>
      </c>
      <c r="B46" s="4">
        <v>3420765.2382400008</v>
      </c>
      <c r="C46" s="4">
        <v>2999027.1205300009</v>
      </c>
      <c r="D46" s="4">
        <v>2884099.477839998</v>
      </c>
      <c r="E46" s="4">
        <v>421738.11770999938</v>
      </c>
      <c r="F46" s="4">
        <v>536665.76040000236</v>
      </c>
      <c r="G46" s="4">
        <v>0.1406249762874662</v>
      </c>
      <c r="H46" s="4">
        <v>0.18607740978543841</v>
      </c>
      <c r="I46" s="8">
        <v>8501</v>
      </c>
      <c r="J46" s="8">
        <v>7614</v>
      </c>
      <c r="K46" s="8">
        <v>9070</v>
      </c>
      <c r="L46" s="8">
        <v>887</v>
      </c>
      <c r="M46" s="8">
        <v>-569</v>
      </c>
      <c r="N46" s="10">
        <v>0.11649592855266611</v>
      </c>
      <c r="O46" s="10">
        <v>-6.2734288864388088E-2</v>
      </c>
      <c r="P46" s="4">
        <v>402.39562854252449</v>
      </c>
      <c r="Q46" s="4">
        <v>393.88325722747589</v>
      </c>
      <c r="R46" s="4">
        <v>317.98230185667018</v>
      </c>
      <c r="S46" s="6">
        <v>8.5123713150485969</v>
      </c>
      <c r="T46" s="6">
        <v>84.413326685854315</v>
      </c>
      <c r="U46" s="6">
        <v>2.161140682893389E-2</v>
      </c>
      <c r="V46" s="6">
        <v>0.26546548720784918</v>
      </c>
      <c r="W46" s="6">
        <v>0.25177243674959687</v>
      </c>
      <c r="X46" s="6">
        <v>0.12840254950143601</v>
      </c>
      <c r="Y46" s="6">
        <v>0.27782168307873162</v>
      </c>
      <c r="Z46" s="6">
        <v>0.96080558935304705</v>
      </c>
      <c r="AA46" s="6">
        <v>-9.3762466775325695E-2</v>
      </c>
    </row>
    <row r="47" spans="1:27" x14ac:dyDescent="0.2">
      <c r="A47" s="2" t="s">
        <v>31</v>
      </c>
      <c r="B47" s="4">
        <v>3873855.2376200012</v>
      </c>
      <c r="C47" s="4">
        <v>2814518.506250001</v>
      </c>
      <c r="D47" s="4">
        <v>3904348.4355099942</v>
      </c>
      <c r="E47" s="4">
        <v>1059336.7313699999</v>
      </c>
      <c r="F47" s="4">
        <v>-30493.197889992971</v>
      </c>
      <c r="G47" s="4">
        <v>0.37638293335702222</v>
      </c>
      <c r="H47" s="4">
        <v>-7.8100606013176907E-3</v>
      </c>
      <c r="I47" s="8">
        <v>6936</v>
      </c>
      <c r="J47" s="8">
        <v>4860</v>
      </c>
      <c r="K47" s="8">
        <v>8110</v>
      </c>
      <c r="L47" s="8">
        <v>2076</v>
      </c>
      <c r="M47" s="8">
        <v>-1174</v>
      </c>
      <c r="N47" s="10">
        <v>0.42716049382716048</v>
      </c>
      <c r="O47" s="10">
        <v>-0.1447595561035758</v>
      </c>
      <c r="P47" s="4">
        <v>558.51430761534039</v>
      </c>
      <c r="Q47" s="4">
        <v>579.11903420781914</v>
      </c>
      <c r="R47" s="4">
        <v>481.42397478544927</v>
      </c>
      <c r="S47" s="6">
        <v>-20.604726592478759</v>
      </c>
      <c r="T47" s="6">
        <v>77.090332829891111</v>
      </c>
      <c r="U47" s="6">
        <v>-3.5579432509352943E-2</v>
      </c>
      <c r="V47" s="6">
        <v>0.16012981668444551</v>
      </c>
      <c r="W47" s="6">
        <v>0.20737243977231021</v>
      </c>
      <c r="X47" s="6">
        <v>0.1076207858670573</v>
      </c>
      <c r="Y47" s="6">
        <v>0.23185863948429761</v>
      </c>
      <c r="Z47" s="6">
        <v>0.92688092826672852</v>
      </c>
      <c r="AA47" s="6">
        <v>-0.10560831274801701</v>
      </c>
    </row>
    <row r="48" spans="1:27" x14ac:dyDescent="0.2">
      <c r="A48" s="2" t="s">
        <v>32</v>
      </c>
      <c r="B48" s="4">
        <v>2874527.4472700008</v>
      </c>
      <c r="C48" s="4">
        <v>2201233.4896200001</v>
      </c>
      <c r="D48" s="4">
        <v>1924390.7907500011</v>
      </c>
      <c r="E48" s="4">
        <v>673293.95765000116</v>
      </c>
      <c r="F48" s="4">
        <v>950136.65652000066</v>
      </c>
      <c r="G48" s="4">
        <v>0.30587121303802822</v>
      </c>
      <c r="H48" s="4">
        <v>0.49373373697641743</v>
      </c>
      <c r="I48" s="8">
        <v>4388</v>
      </c>
      <c r="J48" s="8">
        <v>3355</v>
      </c>
      <c r="K48" s="8">
        <v>3004</v>
      </c>
      <c r="L48" s="8">
        <v>1033</v>
      </c>
      <c r="M48" s="8">
        <v>1384</v>
      </c>
      <c r="N48" s="10">
        <v>0.30789865871833078</v>
      </c>
      <c r="O48" s="10">
        <v>0.4607190412782956</v>
      </c>
      <c r="P48" s="4">
        <v>655.08829700774868</v>
      </c>
      <c r="Q48" s="4">
        <v>656.10536203278696</v>
      </c>
      <c r="R48" s="4">
        <v>640.60945098202421</v>
      </c>
      <c r="S48" s="6">
        <v>-1.017065025038278</v>
      </c>
      <c r="T48" s="6">
        <v>14.47884602572447</v>
      </c>
      <c r="U48" s="6">
        <v>-1.55015502675842E-3</v>
      </c>
      <c r="V48" s="6">
        <v>2.2601674083217279E-2</v>
      </c>
      <c r="W48" s="6">
        <v>0.2666159315813329</v>
      </c>
      <c r="X48" s="6">
        <v>0.19605603738315891</v>
      </c>
      <c r="Y48" s="6">
        <v>0.37667812236697062</v>
      </c>
      <c r="Z48" s="6">
        <v>0.35989656396184572</v>
      </c>
      <c r="AA48" s="6">
        <v>-0.29219161998055182</v>
      </c>
    </row>
    <row r="49" spans="1:27" x14ac:dyDescent="0.2">
      <c r="A49" s="2" t="s">
        <v>33</v>
      </c>
      <c r="B49" s="4">
        <v>1933818.4737699991</v>
      </c>
      <c r="C49" s="4">
        <v>1528372.066189999</v>
      </c>
      <c r="D49" s="4">
        <v>1318701.53788</v>
      </c>
      <c r="E49" s="4">
        <v>405446.40757999942</v>
      </c>
      <c r="F49" s="4">
        <v>615116.93588999845</v>
      </c>
      <c r="G49" s="4">
        <v>0.26527991223414338</v>
      </c>
      <c r="H49" s="4">
        <v>0.46645652425558409</v>
      </c>
      <c r="I49" s="8">
        <v>2069</v>
      </c>
      <c r="J49" s="8">
        <v>1613</v>
      </c>
      <c r="K49" s="8">
        <v>1496</v>
      </c>
      <c r="L49" s="8">
        <v>456</v>
      </c>
      <c r="M49" s="8">
        <v>573</v>
      </c>
      <c r="N49" s="10">
        <v>0.28270303781773087</v>
      </c>
      <c r="O49" s="10">
        <v>0.38302139037433153</v>
      </c>
      <c r="P49" s="4">
        <v>934.66335126631157</v>
      </c>
      <c r="Q49" s="4">
        <v>947.533829008059</v>
      </c>
      <c r="R49" s="4">
        <v>881.48498521390388</v>
      </c>
      <c r="S49" s="6">
        <v>-12.87047774174744</v>
      </c>
      <c r="T49" s="6">
        <v>53.178366052407682</v>
      </c>
      <c r="U49" s="6">
        <v>-1.358313270484612E-2</v>
      </c>
      <c r="V49" s="6">
        <v>6.0328158669093218E-2</v>
      </c>
      <c r="W49" s="6">
        <v>0.2445702528521039</v>
      </c>
      <c r="X49" s="6">
        <v>0.26497064120619379</v>
      </c>
      <c r="Y49" s="6">
        <v>0.32274193345843288</v>
      </c>
      <c r="Z49" s="6">
        <v>-7.6991127247999044E-2</v>
      </c>
      <c r="AA49" s="6">
        <v>-0.2422111058475053</v>
      </c>
    </row>
    <row r="50" spans="1:27" x14ac:dyDescent="0.2">
      <c r="A50" s="2" t="s">
        <v>34</v>
      </c>
      <c r="B50" s="4">
        <v>710399.16447000019</v>
      </c>
      <c r="C50" s="4">
        <v>266992.75056999997</v>
      </c>
      <c r="D50" s="4">
        <v>156326.4376</v>
      </c>
      <c r="E50" s="4">
        <v>443406.41390000022</v>
      </c>
      <c r="F50" s="4">
        <v>554072.72687000013</v>
      </c>
      <c r="G50" s="4">
        <v>1.660743270944161</v>
      </c>
      <c r="H50" s="4">
        <v>3.5443315626991549</v>
      </c>
      <c r="I50" s="8">
        <v>515</v>
      </c>
      <c r="J50" s="8">
        <v>171</v>
      </c>
      <c r="K50" s="8">
        <v>98</v>
      </c>
      <c r="L50" s="8">
        <v>344</v>
      </c>
      <c r="M50" s="8">
        <v>417</v>
      </c>
      <c r="N50" s="10">
        <v>2.011695906432748</v>
      </c>
      <c r="O50" s="10">
        <v>4.2551020408163263</v>
      </c>
      <c r="P50" s="4">
        <v>1379.4158533398061</v>
      </c>
      <c r="Q50" s="4">
        <v>1561.361114444444</v>
      </c>
      <c r="R50" s="4">
        <v>1595.1677306122449</v>
      </c>
      <c r="S50" s="6">
        <v>-181.94526110463789</v>
      </c>
      <c r="T50" s="6">
        <v>-215.75187727243909</v>
      </c>
      <c r="U50" s="6">
        <v>-0.11652990421077369</v>
      </c>
      <c r="V50" s="6">
        <v>-0.1352534113698694</v>
      </c>
      <c r="W50" s="6">
        <v>0.22759859465857821</v>
      </c>
      <c r="X50" s="6">
        <v>0.32552754370464848</v>
      </c>
      <c r="Y50" s="6">
        <v>0.28963192729980058</v>
      </c>
      <c r="Z50" s="6">
        <v>-0.30083153004994673</v>
      </c>
      <c r="AA50" s="6">
        <v>-0.21417988417075029</v>
      </c>
    </row>
    <row r="51" spans="1:27" x14ac:dyDescent="0.2">
      <c r="A51" s="2" t="s">
        <v>35</v>
      </c>
      <c r="B51" s="4">
        <v>132691.50925</v>
      </c>
      <c r="C51" s="4">
        <v>12955.972900000001</v>
      </c>
      <c r="D51" s="4">
        <v>48861.509859999998</v>
      </c>
      <c r="E51" s="4">
        <v>119735.53634999999</v>
      </c>
      <c r="F51" s="4">
        <v>83829.999390000041</v>
      </c>
      <c r="G51" s="4">
        <v>9.2417248225333992</v>
      </c>
      <c r="H51" s="4">
        <v>1.715665349478418</v>
      </c>
      <c r="I51" s="8">
        <v>54</v>
      </c>
      <c r="J51" s="8">
        <v>4</v>
      </c>
      <c r="K51" s="8">
        <v>15</v>
      </c>
      <c r="L51" s="8">
        <v>50</v>
      </c>
      <c r="M51" s="8">
        <v>39</v>
      </c>
      <c r="N51" s="10">
        <v>12.5</v>
      </c>
      <c r="O51" s="10">
        <v>2.6</v>
      </c>
      <c r="P51" s="4">
        <v>2457.2501712962971</v>
      </c>
      <c r="Q51" s="4">
        <v>3238.9932250000002</v>
      </c>
      <c r="R51" s="4">
        <v>3257.433990666666</v>
      </c>
      <c r="S51" s="6">
        <v>-781.74305370370348</v>
      </c>
      <c r="T51" s="6">
        <v>-800.18381937036975</v>
      </c>
      <c r="U51" s="6">
        <v>-0.2413537168493779</v>
      </c>
      <c r="V51" s="6">
        <v>-0.245648514033773</v>
      </c>
      <c r="W51" s="6">
        <v>0.29038411091853661</v>
      </c>
      <c r="X51" s="6">
        <v>0.15372428187156839</v>
      </c>
      <c r="Y51" s="6">
        <v>0.1028994577614553</v>
      </c>
      <c r="Z51" s="6">
        <v>0.88899312056076463</v>
      </c>
      <c r="AA51" s="6">
        <v>1.822017892375233</v>
      </c>
    </row>
    <row r="52" spans="1:27" x14ac:dyDescent="0.2">
      <c r="A52" s="2" t="s">
        <v>36</v>
      </c>
      <c r="B52" s="4">
        <v>208.57711</v>
      </c>
      <c r="C52" s="4">
        <v>443.49428999999998</v>
      </c>
      <c r="D52" s="4">
        <v>9598.3576999999987</v>
      </c>
      <c r="E52" s="4">
        <v>-234.91718</v>
      </c>
      <c r="F52" s="4">
        <v>-9389.7805899999985</v>
      </c>
      <c r="G52" s="4">
        <v>-0.52969606440705241</v>
      </c>
      <c r="H52" s="4">
        <v>-0.97826950020835335</v>
      </c>
      <c r="I52" s="8">
        <v>34</v>
      </c>
      <c r="J52" s="8">
        <v>38</v>
      </c>
      <c r="K52" s="8">
        <v>361</v>
      </c>
      <c r="L52" s="8">
        <v>-4</v>
      </c>
      <c r="M52" s="8">
        <v>-327</v>
      </c>
      <c r="N52" s="10">
        <v>-0.10526315789473679</v>
      </c>
      <c r="O52" s="10">
        <v>-0.90581717451523547</v>
      </c>
      <c r="P52" s="4">
        <v>6.1346208823529409</v>
      </c>
      <c r="Q52" s="4">
        <v>11.67090236842105</v>
      </c>
      <c r="R52" s="4">
        <v>26.588248476454289</v>
      </c>
      <c r="S52" s="6">
        <v>-5.5362814860681109</v>
      </c>
      <c r="T52" s="6">
        <v>-20.453627594101349</v>
      </c>
      <c r="U52" s="6">
        <v>-0.47436618963141147</v>
      </c>
      <c r="V52" s="6">
        <v>-0.76927322280045762</v>
      </c>
      <c r="W52" s="6">
        <v>-0.54882575561623226</v>
      </c>
      <c r="X52" s="6">
        <v>0.30761338550717299</v>
      </c>
      <c r="Y52" s="6">
        <v>0.26032387082219288</v>
      </c>
      <c r="Z52" s="6">
        <v>-2.7841413328336282</v>
      </c>
      <c r="AA52" s="6">
        <v>-3.108242144229227</v>
      </c>
    </row>
    <row r="53" spans="1:27" x14ac:dyDescent="0.2">
      <c r="A53" s="2" t="s">
        <v>37</v>
      </c>
      <c r="B53" s="4">
        <v>14967994.16241</v>
      </c>
      <c r="C53" s="4">
        <v>11873845.39387</v>
      </c>
      <c r="D53" s="4">
        <v>12618063.977209991</v>
      </c>
      <c r="E53" s="4">
        <v>3094148.768540001</v>
      </c>
      <c r="F53" s="4">
        <v>2349930.185200009</v>
      </c>
      <c r="G53" s="4">
        <v>0.26058523299767627</v>
      </c>
      <c r="H53" s="4">
        <v>0.18623539945940329</v>
      </c>
      <c r="I53" s="8">
        <v>31754</v>
      </c>
      <c r="J53" s="8">
        <v>26333</v>
      </c>
      <c r="K53" s="8">
        <v>36365</v>
      </c>
      <c r="L53" s="8">
        <v>5421</v>
      </c>
      <c r="M53" s="8">
        <v>-4611</v>
      </c>
      <c r="N53" s="10">
        <v>0.20586336535905519</v>
      </c>
      <c r="O53" s="10">
        <v>-0.12679774508455929</v>
      </c>
      <c r="P53" s="4">
        <v>471.37350136707192</v>
      </c>
      <c r="Q53" s="4">
        <v>450.91122902327879</v>
      </c>
      <c r="R53" s="4">
        <v>346.98374748274421</v>
      </c>
      <c r="S53" s="6">
        <v>20.462272343793071</v>
      </c>
      <c r="T53" s="6">
        <v>124.3897538843277</v>
      </c>
      <c r="U53" s="6">
        <v>4.5379824290729037E-2</v>
      </c>
      <c r="V53" s="6">
        <v>0.35848870382758702</v>
      </c>
      <c r="W53" s="6">
        <v>0.22933547458822001</v>
      </c>
      <c r="X53" s="6">
        <v>0.15979807561411949</v>
      </c>
      <c r="Y53" s="6">
        <v>0.28273839120990379</v>
      </c>
      <c r="Z53" s="6">
        <v>0.43515792481768922</v>
      </c>
      <c r="AA53" s="6">
        <v>-0.18887748633342721</v>
      </c>
    </row>
    <row r="55" spans="1:27" x14ac:dyDescent="0.2">
      <c r="A55" s="2" t="s">
        <v>41</v>
      </c>
    </row>
    <row r="57" spans="1:27" x14ac:dyDescent="0.2">
      <c r="A57" s="1" t="s">
        <v>0</v>
      </c>
      <c r="B57" s="3" t="s">
        <v>1</v>
      </c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7" t="s">
        <v>8</v>
      </c>
      <c r="J57" s="7" t="s">
        <v>9</v>
      </c>
      <c r="K57" s="7" t="s">
        <v>10</v>
      </c>
      <c r="L57" s="7" t="s">
        <v>11</v>
      </c>
      <c r="M57" s="7" t="s">
        <v>12</v>
      </c>
      <c r="N57" s="9" t="s">
        <v>13</v>
      </c>
      <c r="O57" s="9" t="s">
        <v>14</v>
      </c>
      <c r="P57" s="3" t="s">
        <v>15</v>
      </c>
      <c r="Q57" s="3" t="s">
        <v>16</v>
      </c>
      <c r="R57" s="3" t="s">
        <v>17</v>
      </c>
      <c r="S57" s="5" t="s">
        <v>18</v>
      </c>
      <c r="T57" s="5" t="s">
        <v>19</v>
      </c>
      <c r="U57" s="5" t="s">
        <v>20</v>
      </c>
      <c r="V57" s="5" t="s">
        <v>21</v>
      </c>
      <c r="W57" s="5" t="s">
        <v>22</v>
      </c>
      <c r="X57" s="5" t="s">
        <v>23</v>
      </c>
      <c r="Y57" s="5" t="s">
        <v>24</v>
      </c>
      <c r="Z57" s="5" t="s">
        <v>25</v>
      </c>
      <c r="AA57" s="5" t="s">
        <v>26</v>
      </c>
    </row>
    <row r="58" spans="1:27" x14ac:dyDescent="0.2">
      <c r="A58" s="2" t="s">
        <v>27</v>
      </c>
      <c r="B58" s="4">
        <v>1771.33773</v>
      </c>
      <c r="C58" s="4">
        <v>8619.2829299999994</v>
      </c>
      <c r="D58" s="4">
        <v>14035.3848</v>
      </c>
      <c r="E58" s="4">
        <v>-6847.9451999999992</v>
      </c>
      <c r="F58" s="4">
        <v>-12264.047070000001</v>
      </c>
      <c r="G58" s="4">
        <v>-0.79449128838377736</v>
      </c>
      <c r="H58" s="4">
        <v>-0.87379485812173818</v>
      </c>
      <c r="I58" s="8">
        <v>87</v>
      </c>
      <c r="J58" s="8">
        <v>411</v>
      </c>
      <c r="K58" s="8">
        <v>516</v>
      </c>
      <c r="L58" s="8">
        <v>-324</v>
      </c>
      <c r="M58" s="8">
        <v>-429</v>
      </c>
      <c r="N58" s="10">
        <v>-0.78832116788321172</v>
      </c>
      <c r="O58" s="10">
        <v>-0.83139534883720934</v>
      </c>
      <c r="P58" s="4">
        <v>20.360203793103452</v>
      </c>
      <c r="Q58" s="4">
        <v>20.971491313868611</v>
      </c>
      <c r="R58" s="4">
        <v>27.200358139534881</v>
      </c>
      <c r="S58" s="6">
        <v>-0.61128752076516335</v>
      </c>
      <c r="T58" s="6">
        <v>-6.8401543464314329</v>
      </c>
      <c r="U58" s="6">
        <v>-2.9148500295776019E-2</v>
      </c>
      <c r="V58" s="6">
        <v>-0.25147295161858468</v>
      </c>
      <c r="W58" s="6">
        <v>0.29670204676326761</v>
      </c>
      <c r="X58" s="6">
        <v>0.24540519984995979</v>
      </c>
      <c r="Y58" s="6">
        <v>0.20515998535358981</v>
      </c>
      <c r="Z58" s="6">
        <v>0.20902917682539129</v>
      </c>
      <c r="AA58" s="6">
        <v>0.44619842047613001</v>
      </c>
    </row>
    <row r="59" spans="1:27" x14ac:dyDescent="0.2">
      <c r="A59" s="2" t="s">
        <v>42</v>
      </c>
      <c r="B59" s="4">
        <v>170.06684999999999</v>
      </c>
      <c r="C59" s="4">
        <v>0</v>
      </c>
      <c r="D59" s="4">
        <v>0</v>
      </c>
      <c r="E59" s="4">
        <v>170.06684999999999</v>
      </c>
      <c r="F59" s="4">
        <v>170.06684999999999</v>
      </c>
      <c r="I59" s="8">
        <v>2</v>
      </c>
      <c r="J59" s="8">
        <v>0</v>
      </c>
      <c r="K59" s="8">
        <v>0</v>
      </c>
      <c r="L59" s="8">
        <v>2</v>
      </c>
      <c r="M59" s="8">
        <v>2</v>
      </c>
      <c r="P59" s="4">
        <v>85.033424999999994</v>
      </c>
      <c r="W59" s="6">
        <v>-0.90331272673069463</v>
      </c>
      <c r="Z59" s="6" t="s">
        <v>43</v>
      </c>
      <c r="AA59" s="6" t="s">
        <v>43</v>
      </c>
    </row>
    <row r="60" spans="1:27" x14ac:dyDescent="0.2">
      <c r="A60" s="2" t="s">
        <v>29</v>
      </c>
      <c r="B60" s="4">
        <v>1578226.7189499999</v>
      </c>
      <c r="C60" s="4">
        <v>2013109.23175</v>
      </c>
      <c r="D60" s="4">
        <v>2036266.6087199999</v>
      </c>
      <c r="E60" s="4">
        <v>-434882.51280000038</v>
      </c>
      <c r="F60" s="4">
        <v>-458039.88977000071</v>
      </c>
      <c r="G60" s="4">
        <v>-0.21602529358129069</v>
      </c>
      <c r="H60" s="4">
        <v>-0.22494102089015011</v>
      </c>
      <c r="I60" s="8">
        <v>7854</v>
      </c>
      <c r="J60" s="8">
        <v>8846</v>
      </c>
      <c r="K60" s="8">
        <v>8162</v>
      </c>
      <c r="L60" s="8">
        <v>-992</v>
      </c>
      <c r="M60" s="8">
        <v>-308</v>
      </c>
      <c r="N60" s="10">
        <v>-0.1121410807144472</v>
      </c>
      <c r="O60" s="10">
        <v>-3.7735849056603772E-2</v>
      </c>
      <c r="P60" s="4">
        <v>200.94559701426019</v>
      </c>
      <c r="Q60" s="4">
        <v>227.57282746439071</v>
      </c>
      <c r="R60" s="4">
        <v>249.48132917422211</v>
      </c>
      <c r="S60" s="6">
        <v>-26.627230450130469</v>
      </c>
      <c r="T60" s="6">
        <v>-48.535732159961839</v>
      </c>
      <c r="U60" s="6">
        <v>-0.11700531538325661</v>
      </c>
      <c r="V60" s="6">
        <v>-0.19454655112113639</v>
      </c>
      <c r="W60" s="6">
        <v>0.28312929780918022</v>
      </c>
      <c r="X60" s="6">
        <v>0.16220652118620441</v>
      </c>
      <c r="Y60" s="6">
        <v>0.13798503268519499</v>
      </c>
      <c r="Z60" s="6">
        <v>0.74548653000308684</v>
      </c>
      <c r="AA60" s="6">
        <v>1.0518841232231571</v>
      </c>
    </row>
    <row r="61" spans="1:27" x14ac:dyDescent="0.2">
      <c r="A61" s="2" t="s">
        <v>30</v>
      </c>
      <c r="B61" s="4">
        <v>2062509.82412</v>
      </c>
      <c r="C61" s="4">
        <v>3420426.2481799992</v>
      </c>
      <c r="D61" s="4">
        <v>2999707.742420001</v>
      </c>
      <c r="E61" s="4">
        <v>-1357916.4240599989</v>
      </c>
      <c r="F61" s="4">
        <v>-937197.91830000142</v>
      </c>
      <c r="G61" s="4">
        <v>-0.39700210603358083</v>
      </c>
      <c r="H61" s="4">
        <v>-0.31242974275351271</v>
      </c>
      <c r="I61" s="8">
        <v>6452</v>
      </c>
      <c r="J61" s="8">
        <v>8500</v>
      </c>
      <c r="K61" s="8">
        <v>7616</v>
      </c>
      <c r="L61" s="8">
        <v>-2048</v>
      </c>
      <c r="M61" s="8">
        <v>-1164</v>
      </c>
      <c r="N61" s="10">
        <v>-0.24094117647058819</v>
      </c>
      <c r="O61" s="10">
        <v>-0.1528361344537815</v>
      </c>
      <c r="P61" s="4">
        <v>319.66984254804709</v>
      </c>
      <c r="Q61" s="4">
        <v>402.4030880211763</v>
      </c>
      <c r="R61" s="4">
        <v>393.86918886817239</v>
      </c>
      <c r="S61" s="6">
        <v>-82.733245473129159</v>
      </c>
      <c r="T61" s="6">
        <v>-74.199346320125301</v>
      </c>
      <c r="U61" s="6">
        <v>-0.20559793882291319</v>
      </c>
      <c r="V61" s="6">
        <v>-0.18838575958009179</v>
      </c>
      <c r="W61" s="6">
        <v>0.23986666949869381</v>
      </c>
      <c r="X61" s="6">
        <v>0.25179892849561492</v>
      </c>
      <c r="Y61" s="6">
        <v>0.1283697683159446</v>
      </c>
      <c r="Z61" s="6">
        <v>-4.7388045168464267E-2</v>
      </c>
      <c r="AA61" s="6">
        <v>0.86856043011881212</v>
      </c>
    </row>
    <row r="62" spans="1:27" x14ac:dyDescent="0.2">
      <c r="A62" s="2" t="s">
        <v>31</v>
      </c>
      <c r="B62" s="4">
        <v>3836696.6673599989</v>
      </c>
      <c r="C62" s="4">
        <v>3874194.2276799981</v>
      </c>
      <c r="D62" s="4">
        <v>2813837.88436</v>
      </c>
      <c r="E62" s="4">
        <v>-37497.560319998767</v>
      </c>
      <c r="F62" s="4">
        <v>1022858.782999998</v>
      </c>
      <c r="G62" s="4">
        <v>-9.6788023822062252E-3</v>
      </c>
      <c r="H62" s="4">
        <v>0.36351020386970329</v>
      </c>
      <c r="I62" s="8">
        <v>8531</v>
      </c>
      <c r="J62" s="8">
        <v>6937</v>
      </c>
      <c r="K62" s="8">
        <v>4858</v>
      </c>
      <c r="L62" s="8">
        <v>1594</v>
      </c>
      <c r="M62" s="8">
        <v>3673</v>
      </c>
      <c r="N62" s="10">
        <v>0.22978232665417331</v>
      </c>
      <c r="O62" s="10">
        <v>0.7560724578015644</v>
      </c>
      <c r="P62" s="4">
        <v>449.7358653569334</v>
      </c>
      <c r="Q62" s="4">
        <v>558.4826621997978</v>
      </c>
      <c r="R62" s="4">
        <v>579.21734960065885</v>
      </c>
      <c r="S62" s="6">
        <v>-108.7467968428644</v>
      </c>
      <c r="T62" s="6">
        <v>-129.48148424372539</v>
      </c>
      <c r="U62" s="6">
        <v>-0.19471830408221361</v>
      </c>
      <c r="V62" s="6">
        <v>-0.2235455901536727</v>
      </c>
      <c r="W62" s="6">
        <v>0.23720092261195311</v>
      </c>
      <c r="X62" s="6">
        <v>0.20735293586998529</v>
      </c>
      <c r="Y62" s="6">
        <v>0.1076507056620635</v>
      </c>
      <c r="Z62" s="6">
        <v>0.14394774116284079</v>
      </c>
      <c r="AA62" s="6">
        <v>1.203431191213673</v>
      </c>
    </row>
    <row r="63" spans="1:27" x14ac:dyDescent="0.2">
      <c r="A63" s="2" t="s">
        <v>32</v>
      </c>
      <c r="B63" s="4">
        <v>3471543.8284700019</v>
      </c>
      <c r="C63" s="4">
        <v>2874527.4472699999</v>
      </c>
      <c r="D63" s="4">
        <v>2201233.4896200001</v>
      </c>
      <c r="E63" s="4">
        <v>597016.38120000204</v>
      </c>
      <c r="F63" s="4">
        <v>1270310.338850002</v>
      </c>
      <c r="G63" s="4">
        <v>0.20769200926120959</v>
      </c>
      <c r="H63" s="4">
        <v>0.57709022911026853</v>
      </c>
      <c r="I63" s="8">
        <v>6621</v>
      </c>
      <c r="J63" s="8">
        <v>4388</v>
      </c>
      <c r="K63" s="8">
        <v>3355</v>
      </c>
      <c r="L63" s="8">
        <v>2233</v>
      </c>
      <c r="M63" s="8">
        <v>3266</v>
      </c>
      <c r="N63" s="10">
        <v>0.50888787602552421</v>
      </c>
      <c r="O63" s="10">
        <v>0.9734724292101341</v>
      </c>
      <c r="P63" s="4">
        <v>524.32318810904724</v>
      </c>
      <c r="Q63" s="4">
        <v>655.08829700774834</v>
      </c>
      <c r="R63" s="4">
        <v>656.10536203278696</v>
      </c>
      <c r="S63" s="6">
        <v>-130.7651088987011</v>
      </c>
      <c r="T63" s="6">
        <v>-131.78217392373969</v>
      </c>
      <c r="U63" s="6">
        <v>-0.19961447868325211</v>
      </c>
      <c r="V63" s="6">
        <v>-0.20085520032246629</v>
      </c>
      <c r="W63" s="6">
        <v>0.24748576564814809</v>
      </c>
      <c r="X63" s="6">
        <v>0.26661593158133251</v>
      </c>
      <c r="Y63" s="6">
        <v>0.19605603738315849</v>
      </c>
      <c r="Z63" s="6">
        <v>-7.1751773495758314E-2</v>
      </c>
      <c r="AA63" s="6">
        <v>0.26232157372679571</v>
      </c>
    </row>
    <row r="64" spans="1:27" x14ac:dyDescent="0.2">
      <c r="A64" s="2" t="s">
        <v>33</v>
      </c>
      <c r="B64" s="4">
        <v>1977958.4585600011</v>
      </c>
      <c r="C64" s="4">
        <v>1933818.47377</v>
      </c>
      <c r="D64" s="4">
        <v>1529376.2807199999</v>
      </c>
      <c r="E64" s="4">
        <v>44139.984790000599</v>
      </c>
      <c r="F64" s="4">
        <v>448582.17784000089</v>
      </c>
      <c r="G64" s="4">
        <v>2.2825298955774901E-2</v>
      </c>
      <c r="H64" s="4">
        <v>0.29331053678223479</v>
      </c>
      <c r="I64" s="8">
        <v>2534</v>
      </c>
      <c r="J64" s="8">
        <v>2069</v>
      </c>
      <c r="K64" s="8">
        <v>1614</v>
      </c>
      <c r="L64" s="8">
        <v>465</v>
      </c>
      <c r="M64" s="8">
        <v>920</v>
      </c>
      <c r="N64" s="10">
        <v>0.22474625422909619</v>
      </c>
      <c r="O64" s="10">
        <v>0.57001239157372985</v>
      </c>
      <c r="P64" s="4">
        <v>780.56766320442023</v>
      </c>
      <c r="Q64" s="4">
        <v>934.66335126631236</v>
      </c>
      <c r="R64" s="4">
        <v>947.56894716232955</v>
      </c>
      <c r="S64" s="6">
        <v>-154.0956880618921</v>
      </c>
      <c r="T64" s="6">
        <v>-167.00128395790929</v>
      </c>
      <c r="U64" s="6">
        <v>-0.16486758344929031</v>
      </c>
      <c r="V64" s="6">
        <v>-0.1762418285846381</v>
      </c>
      <c r="W64" s="6">
        <v>0.27432683289265419</v>
      </c>
      <c r="X64" s="6">
        <v>0.2445702528521049</v>
      </c>
      <c r="Y64" s="6">
        <v>0.26384223352805852</v>
      </c>
      <c r="Z64" s="6">
        <v>0.1216688444057978</v>
      </c>
      <c r="AA64" s="6">
        <v>3.9738139055288092E-2</v>
      </c>
    </row>
    <row r="65" spans="1:27" x14ac:dyDescent="0.2">
      <c r="A65" s="2" t="s">
        <v>34</v>
      </c>
      <c r="B65" s="4">
        <v>954580.66445000027</v>
      </c>
      <c r="C65" s="4">
        <v>710399.16447000019</v>
      </c>
      <c r="D65" s="4">
        <v>265988.53603999998</v>
      </c>
      <c r="E65" s="4">
        <v>244181.49998000011</v>
      </c>
      <c r="F65" s="4">
        <v>688592.12841000024</v>
      </c>
      <c r="G65" s="4">
        <v>0.3437243625732217</v>
      </c>
      <c r="H65" s="4">
        <v>2.588803783282029</v>
      </c>
      <c r="I65" s="8">
        <v>834</v>
      </c>
      <c r="J65" s="8">
        <v>515</v>
      </c>
      <c r="K65" s="8">
        <v>170</v>
      </c>
      <c r="L65" s="8">
        <v>319</v>
      </c>
      <c r="M65" s="8">
        <v>664</v>
      </c>
      <c r="N65" s="10">
        <v>0.61941747572815531</v>
      </c>
      <c r="O65" s="10">
        <v>3.9058823529411759</v>
      </c>
      <c r="P65" s="4">
        <v>1144.581132434053</v>
      </c>
      <c r="Q65" s="4">
        <v>1379.4158533398061</v>
      </c>
      <c r="R65" s="4">
        <v>1564.6384472941179</v>
      </c>
      <c r="S65" s="6">
        <v>-234.8347209057531</v>
      </c>
      <c r="T65" s="6">
        <v>-420.05731486006471</v>
      </c>
      <c r="U65" s="6">
        <v>-0.17024215020958131</v>
      </c>
      <c r="V65" s="6">
        <v>-0.26846925280821959</v>
      </c>
      <c r="W65" s="6">
        <v>0.2360747628068092</v>
      </c>
      <c r="X65" s="6">
        <v>0.22759859465857851</v>
      </c>
      <c r="Y65" s="6">
        <v>0.33224426949254038</v>
      </c>
      <c r="Z65" s="6">
        <v>3.7241742028090233E-2</v>
      </c>
      <c r="AA65" s="6">
        <v>-0.28945422243886271</v>
      </c>
    </row>
    <row r="66" spans="1:27" x14ac:dyDescent="0.2">
      <c r="A66" s="2" t="s">
        <v>35</v>
      </c>
      <c r="B66" s="4">
        <v>411854.88253</v>
      </c>
      <c r="C66" s="4">
        <v>132691.50925</v>
      </c>
      <c r="D66" s="4">
        <v>12955.972900000001</v>
      </c>
      <c r="E66" s="4">
        <v>279163.37327999988</v>
      </c>
      <c r="F66" s="4">
        <v>398898.90963000001</v>
      </c>
      <c r="G66" s="4">
        <v>2.1038525739731901</v>
      </c>
      <c r="H66" s="4">
        <v>30.788803952345411</v>
      </c>
      <c r="I66" s="8">
        <v>180</v>
      </c>
      <c r="J66" s="8">
        <v>54</v>
      </c>
      <c r="K66" s="8">
        <v>4</v>
      </c>
      <c r="L66" s="8">
        <v>126</v>
      </c>
      <c r="M66" s="8">
        <v>176</v>
      </c>
      <c r="N66" s="10">
        <v>2.333333333333333</v>
      </c>
      <c r="O66" s="10">
        <v>44</v>
      </c>
      <c r="P66" s="4">
        <v>2288.082680722222</v>
      </c>
      <c r="Q66" s="4">
        <v>2457.2501712962971</v>
      </c>
      <c r="R66" s="4">
        <v>3238.9932250000002</v>
      </c>
      <c r="S66" s="6">
        <v>-169.16749057407421</v>
      </c>
      <c r="T66" s="6">
        <v>-950.91054427777772</v>
      </c>
      <c r="U66" s="6">
        <v>-6.884422780804271E-2</v>
      </c>
      <c r="V66" s="6">
        <v>-0.29358213439232422</v>
      </c>
      <c r="W66" s="6">
        <v>0.24528585027188901</v>
      </c>
      <c r="X66" s="6">
        <v>0.29038411091853661</v>
      </c>
      <c r="Y66" s="6">
        <v>0.1537242818715685</v>
      </c>
      <c r="Z66" s="6">
        <v>-0.1553055382541205</v>
      </c>
      <c r="AA66" s="6">
        <v>0.59562202721374291</v>
      </c>
    </row>
    <row r="67" spans="1:27" x14ac:dyDescent="0.2">
      <c r="A67" s="2" t="s">
        <v>36</v>
      </c>
      <c r="B67" s="4">
        <v>747.34989999999993</v>
      </c>
      <c r="C67" s="4">
        <v>208.57711</v>
      </c>
      <c r="D67" s="4">
        <v>443.49428999999998</v>
      </c>
      <c r="E67" s="4">
        <v>538.77278999999999</v>
      </c>
      <c r="F67" s="4">
        <v>303.85561000000001</v>
      </c>
      <c r="G67" s="4">
        <v>2.5830868497506749</v>
      </c>
      <c r="H67" s="4">
        <v>0.68513984700907871</v>
      </c>
      <c r="I67" s="8">
        <v>8</v>
      </c>
      <c r="J67" s="8">
        <v>34</v>
      </c>
      <c r="K67" s="8">
        <v>38</v>
      </c>
      <c r="L67" s="8">
        <v>-26</v>
      </c>
      <c r="M67" s="8">
        <v>-30</v>
      </c>
      <c r="N67" s="10">
        <v>-0.76470588235294112</v>
      </c>
      <c r="O67" s="10">
        <v>-0.78947368421052633</v>
      </c>
      <c r="P67" s="4">
        <v>93.418737499999992</v>
      </c>
      <c r="Q67" s="4">
        <v>6.1346208823529409</v>
      </c>
      <c r="R67" s="4">
        <v>11.67090236842105</v>
      </c>
      <c r="S67" s="6">
        <v>87.284116617647044</v>
      </c>
      <c r="T67" s="6">
        <v>81.747835131578938</v>
      </c>
      <c r="U67" s="6">
        <v>14.228119111440369</v>
      </c>
      <c r="V67" s="6">
        <v>7.0044142732931238</v>
      </c>
      <c r="W67" s="6">
        <v>2.0102685502466602E-2</v>
      </c>
      <c r="X67" s="6">
        <v>-0.54882575561623193</v>
      </c>
      <c r="Y67" s="6">
        <v>0.30761338550717299</v>
      </c>
      <c r="Z67" s="6">
        <v>-1.0366285388335961</v>
      </c>
      <c r="AA67" s="6">
        <v>-0.93464950990568052</v>
      </c>
    </row>
    <row r="68" spans="1:27" x14ac:dyDescent="0.2">
      <c r="A68" s="2" t="s">
        <v>37</v>
      </c>
      <c r="B68" s="4">
        <v>14296059.79892</v>
      </c>
      <c r="C68" s="4">
        <v>14967994.16241</v>
      </c>
      <c r="D68" s="4">
        <v>11873845.39387</v>
      </c>
      <c r="E68" s="4">
        <v>-671934.36348999478</v>
      </c>
      <c r="F68" s="4">
        <v>2422214.4050500002</v>
      </c>
      <c r="G68" s="4">
        <v>-4.4891410044604577E-2</v>
      </c>
      <c r="H68" s="4">
        <v>0.20399578440700381</v>
      </c>
      <c r="I68" s="8">
        <v>33103</v>
      </c>
      <c r="J68" s="8">
        <v>31754</v>
      </c>
      <c r="K68" s="8">
        <v>26333</v>
      </c>
      <c r="L68" s="8">
        <v>1349</v>
      </c>
      <c r="M68" s="8">
        <v>6770</v>
      </c>
      <c r="N68" s="10">
        <v>4.2482836807961201E-2</v>
      </c>
      <c r="O68" s="10">
        <v>0.25709186192230282</v>
      </c>
      <c r="P68" s="4">
        <v>431.86598794429511</v>
      </c>
      <c r="Q68" s="4">
        <v>471.37350136707181</v>
      </c>
      <c r="R68" s="4">
        <v>450.91122902327879</v>
      </c>
      <c r="S68" s="6">
        <v>-39.50751342277664</v>
      </c>
      <c r="T68" s="6">
        <v>-19.045241078983739</v>
      </c>
      <c r="U68" s="6">
        <v>-8.381360706148612E-2</v>
      </c>
      <c r="V68" s="6">
        <v>-4.223722953237987E-2</v>
      </c>
      <c r="W68" s="6">
        <v>0.25043011328201542</v>
      </c>
      <c r="X68" s="6">
        <v>0.22933547458821979</v>
      </c>
      <c r="Y68" s="6">
        <v>0.15979807561411941</v>
      </c>
      <c r="Z68" s="6">
        <v>9.1981577345030194E-2</v>
      </c>
      <c r="AA68" s="6">
        <v>0.56716601448164072</v>
      </c>
    </row>
    <row r="70" spans="1:27" x14ac:dyDescent="0.2">
      <c r="A70" s="2" t="s">
        <v>44</v>
      </c>
    </row>
    <row r="72" spans="1:27" x14ac:dyDescent="0.2">
      <c r="A72" s="1" t="s">
        <v>0</v>
      </c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7" t="s">
        <v>8</v>
      </c>
      <c r="J72" s="7" t="s">
        <v>9</v>
      </c>
      <c r="K72" s="7" t="s">
        <v>10</v>
      </c>
      <c r="L72" s="7" t="s">
        <v>11</v>
      </c>
      <c r="M72" s="7" t="s">
        <v>12</v>
      </c>
      <c r="N72" s="9" t="s">
        <v>13</v>
      </c>
      <c r="O72" s="9" t="s">
        <v>14</v>
      </c>
      <c r="P72" s="3" t="s">
        <v>15</v>
      </c>
      <c r="Q72" s="3" t="s">
        <v>16</v>
      </c>
      <c r="R72" s="3" t="s">
        <v>17</v>
      </c>
      <c r="S72" s="5" t="s">
        <v>18</v>
      </c>
      <c r="T72" s="5" t="s">
        <v>19</v>
      </c>
      <c r="U72" s="5" t="s">
        <v>20</v>
      </c>
      <c r="V72" s="5" t="s">
        <v>21</v>
      </c>
      <c r="W72" s="5" t="s">
        <v>22</v>
      </c>
      <c r="X72" s="5" t="s">
        <v>23</v>
      </c>
      <c r="Y72" s="5" t="s">
        <v>24</v>
      </c>
      <c r="Z72" s="5" t="s">
        <v>25</v>
      </c>
      <c r="AA72" s="5" t="s">
        <v>26</v>
      </c>
    </row>
    <row r="73" spans="1:27" x14ac:dyDescent="0.2">
      <c r="A73" s="2" t="s">
        <v>27</v>
      </c>
      <c r="B73" s="4">
        <v>176.56050999999999</v>
      </c>
      <c r="C73" s="4">
        <v>1771.33773</v>
      </c>
      <c r="D73" s="4">
        <v>8619.2829299999994</v>
      </c>
      <c r="E73" s="4">
        <v>-1594.7772199999999</v>
      </c>
      <c r="F73" s="4">
        <v>-8442.7224200000001</v>
      </c>
      <c r="G73" s="4">
        <v>-0.90032363280603744</v>
      </c>
      <c r="H73" s="4">
        <v>-0.97951563819938336</v>
      </c>
      <c r="I73" s="8">
        <v>3</v>
      </c>
      <c r="J73" s="8">
        <v>87</v>
      </c>
      <c r="K73" s="8">
        <v>411</v>
      </c>
      <c r="L73" s="8">
        <v>-84</v>
      </c>
      <c r="M73" s="8">
        <v>-408</v>
      </c>
      <c r="N73" s="10">
        <v>-0.96551724137931039</v>
      </c>
      <c r="O73" s="10">
        <v>-0.99270072992700731</v>
      </c>
      <c r="P73" s="4">
        <v>58.853503333333343</v>
      </c>
      <c r="Q73" s="4">
        <v>20.360203793103441</v>
      </c>
      <c r="R73" s="4">
        <v>20.971491313868611</v>
      </c>
      <c r="S73" s="6">
        <v>38.493299540229899</v>
      </c>
      <c r="T73" s="6">
        <v>37.882012019464732</v>
      </c>
      <c r="U73" s="6">
        <v>1.8906146486249129</v>
      </c>
      <c r="V73" s="6">
        <v>1.8063575666844951</v>
      </c>
      <c r="W73" s="6">
        <v>0.1247009877803366</v>
      </c>
      <c r="X73" s="6">
        <v>0.29670204676326722</v>
      </c>
      <c r="Y73" s="6">
        <v>0.2454051998499599</v>
      </c>
      <c r="Z73" s="6">
        <v>-0.57970971504678215</v>
      </c>
      <c r="AA73" s="6">
        <v>-0.49185678275530259</v>
      </c>
    </row>
    <row r="74" spans="1:27" x14ac:dyDescent="0.2">
      <c r="A74" s="2" t="s">
        <v>42</v>
      </c>
      <c r="B74" s="4">
        <v>0</v>
      </c>
      <c r="C74" s="4">
        <v>170.06684999999999</v>
      </c>
      <c r="D74" s="4">
        <v>0</v>
      </c>
      <c r="E74" s="4">
        <v>-170.06684999999999</v>
      </c>
      <c r="F74" s="4">
        <v>0</v>
      </c>
      <c r="G74" s="4">
        <v>-1</v>
      </c>
      <c r="I74" s="8">
        <v>0</v>
      </c>
      <c r="J74" s="8">
        <v>2</v>
      </c>
      <c r="K74" s="8">
        <v>0</v>
      </c>
      <c r="L74" s="8">
        <v>-2</v>
      </c>
      <c r="M74" s="8">
        <v>0</v>
      </c>
      <c r="N74" s="10">
        <v>-1</v>
      </c>
      <c r="Q74" s="4">
        <v>85.033424999999994</v>
      </c>
      <c r="X74" s="6">
        <v>-0.90331272673069463</v>
      </c>
      <c r="Z74" s="6">
        <v>-1</v>
      </c>
    </row>
    <row r="75" spans="1:27" x14ac:dyDescent="0.2">
      <c r="A75" s="2" t="s">
        <v>29</v>
      </c>
      <c r="B75" s="4">
        <v>1514098.25116</v>
      </c>
      <c r="C75" s="4">
        <v>1578226.7189500011</v>
      </c>
      <c r="D75" s="4">
        <v>2013109.23175</v>
      </c>
      <c r="E75" s="4">
        <v>-64128.467790000614</v>
      </c>
      <c r="F75" s="4">
        <v>-499010.98058999958</v>
      </c>
      <c r="G75" s="4">
        <v>-4.0633241738972377E-2</v>
      </c>
      <c r="H75" s="4">
        <v>-0.24788072734444139</v>
      </c>
      <c r="I75" s="8">
        <v>8612</v>
      </c>
      <c r="J75" s="8">
        <v>7854</v>
      </c>
      <c r="K75" s="8">
        <v>8846</v>
      </c>
      <c r="L75" s="8">
        <v>758</v>
      </c>
      <c r="M75" s="8">
        <v>-234</v>
      </c>
      <c r="N75" s="10">
        <v>9.6511331805449449E-2</v>
      </c>
      <c r="O75" s="10">
        <v>-2.645263395885146E-2</v>
      </c>
      <c r="P75" s="4">
        <v>175.81261625174179</v>
      </c>
      <c r="Q75" s="4">
        <v>200.9455970142603</v>
      </c>
      <c r="R75" s="4">
        <v>227.5728274643906</v>
      </c>
      <c r="S75" s="6">
        <v>-25.132980762518571</v>
      </c>
      <c r="T75" s="6">
        <v>-51.760211212648869</v>
      </c>
      <c r="U75" s="6">
        <v>-0.1250735578980364</v>
      </c>
      <c r="V75" s="6">
        <v>-0.2274446021933266</v>
      </c>
      <c r="W75" s="6">
        <v>0.17332985885092839</v>
      </c>
      <c r="X75" s="6">
        <v>0.28312929780918072</v>
      </c>
      <c r="Y75" s="6">
        <v>0.16220652118620399</v>
      </c>
      <c r="Z75" s="6">
        <v>-0.38780670106508502</v>
      </c>
      <c r="AA75" s="6">
        <v>6.8575157049052135E-2</v>
      </c>
    </row>
    <row r="76" spans="1:27" x14ac:dyDescent="0.2">
      <c r="A76" s="2" t="s">
        <v>30</v>
      </c>
      <c r="B76" s="4">
        <v>2530083.3610899998</v>
      </c>
      <c r="C76" s="4">
        <v>2062509.8241200009</v>
      </c>
      <c r="D76" s="4">
        <v>3420426.248180002</v>
      </c>
      <c r="E76" s="4">
        <v>467573.53696999891</v>
      </c>
      <c r="F76" s="4">
        <v>-890342.88709000219</v>
      </c>
      <c r="G76" s="4">
        <v>0.2267012411296008</v>
      </c>
      <c r="H76" s="4">
        <v>-0.26030173507285848</v>
      </c>
      <c r="I76" s="8">
        <v>7790</v>
      </c>
      <c r="J76" s="8">
        <v>6452</v>
      </c>
      <c r="K76" s="8">
        <v>8500</v>
      </c>
      <c r="L76" s="8">
        <v>1338</v>
      </c>
      <c r="M76" s="8">
        <v>-710</v>
      </c>
      <c r="N76" s="10">
        <v>0.20737755734655919</v>
      </c>
      <c r="O76" s="10">
        <v>-8.352941176470588E-2</v>
      </c>
      <c r="P76" s="4">
        <v>324.78605405519892</v>
      </c>
      <c r="Q76" s="4">
        <v>319.66984254804731</v>
      </c>
      <c r="R76" s="4">
        <v>402.4030880211767</v>
      </c>
      <c r="S76" s="6">
        <v>5.116211507151661</v>
      </c>
      <c r="T76" s="6">
        <v>-77.617033965977782</v>
      </c>
      <c r="U76" s="6">
        <v>1.600467365445234E-2</v>
      </c>
      <c r="V76" s="6">
        <v>-0.19288379308335021</v>
      </c>
      <c r="W76" s="6">
        <v>0.20077512878119341</v>
      </c>
      <c r="X76" s="6">
        <v>0.23986666949869351</v>
      </c>
      <c r="Y76" s="6">
        <v>0.2517989284956153</v>
      </c>
      <c r="Z76" s="6">
        <v>-0.16297195770966871</v>
      </c>
      <c r="AA76" s="6">
        <v>-0.20263708038499631</v>
      </c>
    </row>
    <row r="77" spans="1:27" x14ac:dyDescent="0.2">
      <c r="A77" s="2" t="s">
        <v>31</v>
      </c>
      <c r="B77" s="4">
        <v>2367304.0728799989</v>
      </c>
      <c r="C77" s="4">
        <v>3836696.6673599989</v>
      </c>
      <c r="D77" s="4">
        <v>3874194.2276799972</v>
      </c>
      <c r="E77" s="4">
        <v>-1469392.59448</v>
      </c>
      <c r="F77" s="4">
        <v>-1506890.154799998</v>
      </c>
      <c r="G77" s="4">
        <v>-0.3829837805476235</v>
      </c>
      <c r="H77" s="4">
        <v>-0.38895575860231879</v>
      </c>
      <c r="I77" s="8">
        <v>5489</v>
      </c>
      <c r="J77" s="8">
        <v>8531</v>
      </c>
      <c r="K77" s="8">
        <v>6937</v>
      </c>
      <c r="L77" s="8">
        <v>-3042</v>
      </c>
      <c r="M77" s="8">
        <v>-1448</v>
      </c>
      <c r="N77" s="10">
        <v>-0.35658187785722661</v>
      </c>
      <c r="O77" s="10">
        <v>-0.2087357647398011</v>
      </c>
      <c r="P77" s="4">
        <v>431.2814853124429</v>
      </c>
      <c r="Q77" s="4">
        <v>449.73586535693352</v>
      </c>
      <c r="R77" s="4">
        <v>558.48266219979769</v>
      </c>
      <c r="S77" s="6">
        <v>-18.454380044490559</v>
      </c>
      <c r="T77" s="6">
        <v>-127.2011768873548</v>
      </c>
      <c r="U77" s="6">
        <v>-4.1033818883544501E-2</v>
      </c>
      <c r="V77" s="6">
        <v>-0.22776208734273731</v>
      </c>
      <c r="W77" s="6">
        <v>0.20037037127340099</v>
      </c>
      <c r="X77" s="6">
        <v>0.23720092261195311</v>
      </c>
      <c r="Y77" s="6">
        <v>0.20735293586998549</v>
      </c>
      <c r="Z77" s="6">
        <v>-0.15527153492064921</v>
      </c>
      <c r="AA77" s="6">
        <v>-3.3674780476523912E-2</v>
      </c>
    </row>
    <row r="78" spans="1:27" x14ac:dyDescent="0.2">
      <c r="A78" s="2" t="s">
        <v>32</v>
      </c>
      <c r="B78" s="4">
        <v>4734350.6073699975</v>
      </c>
      <c r="C78" s="4">
        <v>3471543.8284699991</v>
      </c>
      <c r="D78" s="4">
        <v>2874527.4472700022</v>
      </c>
      <c r="E78" s="4">
        <v>1262806.7788999979</v>
      </c>
      <c r="F78" s="4">
        <v>1859823.1600999951</v>
      </c>
      <c r="G78" s="4">
        <v>0.36375942269366379</v>
      </c>
      <c r="H78" s="4">
        <v>0.64700135734181552</v>
      </c>
      <c r="I78" s="8">
        <v>10206</v>
      </c>
      <c r="J78" s="8">
        <v>6621</v>
      </c>
      <c r="K78" s="8">
        <v>4388</v>
      </c>
      <c r="L78" s="8">
        <v>3585</v>
      </c>
      <c r="M78" s="8">
        <v>5818</v>
      </c>
      <c r="N78" s="10">
        <v>0.54145899410965115</v>
      </c>
      <c r="O78" s="10">
        <v>1.325888787602552</v>
      </c>
      <c r="P78" s="4">
        <v>463.87915024201419</v>
      </c>
      <c r="Q78" s="4">
        <v>524.3231881090469</v>
      </c>
      <c r="R78" s="4">
        <v>655.08829700774891</v>
      </c>
      <c r="S78" s="6">
        <v>-60.444037867032648</v>
      </c>
      <c r="T78" s="6">
        <v>-191.20914676573469</v>
      </c>
      <c r="U78" s="6">
        <v>-0.11528011584805541</v>
      </c>
      <c r="V78" s="6">
        <v>-0.29188301430375407</v>
      </c>
      <c r="W78" s="6">
        <v>0.2271295522972156</v>
      </c>
      <c r="X78" s="6">
        <v>0.2474857656481477</v>
      </c>
      <c r="Y78" s="6">
        <v>0.26661593158133279</v>
      </c>
      <c r="Z78" s="6">
        <v>-8.2252057194564562E-2</v>
      </c>
      <c r="AA78" s="6">
        <v>-0.1481020997129408</v>
      </c>
    </row>
    <row r="79" spans="1:27" x14ac:dyDescent="0.2">
      <c r="A79" s="2" t="s">
        <v>33</v>
      </c>
      <c r="B79" s="4">
        <v>2835539.3497000001</v>
      </c>
      <c r="C79" s="4">
        <v>1977958.4585600011</v>
      </c>
      <c r="D79" s="4">
        <v>1933818.47377</v>
      </c>
      <c r="E79" s="4">
        <v>857580.8911399995</v>
      </c>
      <c r="F79" s="4">
        <v>901720.8759300001</v>
      </c>
      <c r="G79" s="4">
        <v>0.43356870687988969</v>
      </c>
      <c r="H79" s="4">
        <v>0.46629034118806689</v>
      </c>
      <c r="I79" s="8">
        <v>3889</v>
      </c>
      <c r="J79" s="8">
        <v>2534</v>
      </c>
      <c r="K79" s="8">
        <v>2069</v>
      </c>
      <c r="L79" s="8">
        <v>1355</v>
      </c>
      <c r="M79" s="8">
        <v>1820</v>
      </c>
      <c r="N79" s="10">
        <v>0.5347277032359905</v>
      </c>
      <c r="O79" s="10">
        <v>0.87965200579990332</v>
      </c>
      <c r="P79" s="4">
        <v>729.11785798405765</v>
      </c>
      <c r="Q79" s="4">
        <v>780.56766320442011</v>
      </c>
      <c r="R79" s="4">
        <v>934.66335126631225</v>
      </c>
      <c r="S79" s="6">
        <v>-51.449805220362457</v>
      </c>
      <c r="T79" s="6">
        <v>-205.5454932822546</v>
      </c>
      <c r="U79" s="6">
        <v>-6.5913318787955547E-2</v>
      </c>
      <c r="V79" s="6">
        <v>-0.21991393265155301</v>
      </c>
      <c r="W79" s="6">
        <v>0.26996598343133232</v>
      </c>
      <c r="X79" s="6">
        <v>0.27432683289265419</v>
      </c>
      <c r="Y79" s="6">
        <v>0.2445702528521049</v>
      </c>
      <c r="Z79" s="6">
        <v>-1.5896547251097209E-2</v>
      </c>
      <c r="AA79" s="6">
        <v>0.1038381826206171</v>
      </c>
    </row>
    <row r="80" spans="1:27" x14ac:dyDescent="0.2">
      <c r="A80" s="2" t="s">
        <v>34</v>
      </c>
      <c r="B80" s="4">
        <v>908180.29679999989</v>
      </c>
      <c r="C80" s="4">
        <v>954580.66444999992</v>
      </c>
      <c r="D80" s="4">
        <v>710399.16447000019</v>
      </c>
      <c r="E80" s="4">
        <v>-46400.367650000029</v>
      </c>
      <c r="F80" s="4">
        <v>197781.1323299997</v>
      </c>
      <c r="G80" s="4">
        <v>-4.8608115980156061E-2</v>
      </c>
      <c r="H80" s="4">
        <v>0.27840845291190081</v>
      </c>
      <c r="I80" s="8">
        <v>898</v>
      </c>
      <c r="J80" s="8">
        <v>834</v>
      </c>
      <c r="K80" s="8">
        <v>515</v>
      </c>
      <c r="L80" s="8">
        <v>64</v>
      </c>
      <c r="M80" s="8">
        <v>383</v>
      </c>
      <c r="N80" s="10">
        <v>7.6738609112709827E-2</v>
      </c>
      <c r="O80" s="10">
        <v>0.74368932038834956</v>
      </c>
      <c r="P80" s="4">
        <v>1011.336633407572</v>
      </c>
      <c r="Q80" s="4">
        <v>1144.581132434053</v>
      </c>
      <c r="R80" s="4">
        <v>1379.4158533398061</v>
      </c>
      <c r="S80" s="6">
        <v>-133.24449902648041</v>
      </c>
      <c r="T80" s="6">
        <v>-368.07921993223403</v>
      </c>
      <c r="U80" s="6">
        <v>-0.1164133282042875</v>
      </c>
      <c r="V80" s="6">
        <v>-0.26683702310731749</v>
      </c>
      <c r="W80" s="6">
        <v>0.18565778948751141</v>
      </c>
      <c r="X80" s="6">
        <v>0.23607476280680931</v>
      </c>
      <c r="Y80" s="6">
        <v>0.22759859465857821</v>
      </c>
      <c r="Z80" s="6">
        <v>-0.2135635877374846</v>
      </c>
      <c r="AA80" s="6">
        <v>-0.1842753257505057</v>
      </c>
    </row>
    <row r="81" spans="1:27" x14ac:dyDescent="0.2">
      <c r="A81" s="2" t="s">
        <v>35</v>
      </c>
      <c r="B81" s="4">
        <v>705357.86545999988</v>
      </c>
      <c r="C81" s="4">
        <v>411854.88252999989</v>
      </c>
      <c r="D81" s="4">
        <v>132691.50925</v>
      </c>
      <c r="E81" s="4">
        <v>293502.98292999988</v>
      </c>
      <c r="F81" s="4">
        <v>572666.35620999988</v>
      </c>
      <c r="G81" s="4">
        <v>0.71263689075877568</v>
      </c>
      <c r="H81" s="4">
        <v>4.315772421663068</v>
      </c>
      <c r="I81" s="8">
        <v>370</v>
      </c>
      <c r="J81" s="8">
        <v>180</v>
      </c>
      <c r="K81" s="8">
        <v>54</v>
      </c>
      <c r="L81" s="8">
        <v>190</v>
      </c>
      <c r="M81" s="8">
        <v>316</v>
      </c>
      <c r="N81" s="10">
        <v>1.055555555555556</v>
      </c>
      <c r="O81" s="10">
        <v>5.8518518518518521</v>
      </c>
      <c r="P81" s="4">
        <v>1906.372609351351</v>
      </c>
      <c r="Q81" s="4">
        <v>2288.082680722222</v>
      </c>
      <c r="R81" s="4">
        <v>2457.2501712962958</v>
      </c>
      <c r="S81" s="6">
        <v>-381.71007137087099</v>
      </c>
      <c r="T81" s="6">
        <v>-550.87756194494523</v>
      </c>
      <c r="U81" s="6">
        <v>-0.1668252963876227</v>
      </c>
      <c r="V81" s="6">
        <v>-0.22418456548701171</v>
      </c>
      <c r="W81" s="6">
        <v>0.23758071913001619</v>
      </c>
      <c r="X81" s="6">
        <v>0.2452858502718889</v>
      </c>
      <c r="Y81" s="6">
        <v>0.29038411091853628</v>
      </c>
      <c r="Z81" s="6">
        <v>-3.1412864351253462E-2</v>
      </c>
      <c r="AA81" s="6">
        <v>-0.18183981079919859</v>
      </c>
    </row>
    <row r="82" spans="1:27" x14ac:dyDescent="0.2">
      <c r="A82" s="2" t="s">
        <v>36</v>
      </c>
      <c r="B82" s="4">
        <v>527.97496999999998</v>
      </c>
      <c r="C82" s="4">
        <v>747.34989999999993</v>
      </c>
      <c r="D82" s="4">
        <v>208.57711</v>
      </c>
      <c r="E82" s="4">
        <v>-219.37492999999989</v>
      </c>
      <c r="F82" s="4">
        <v>319.39785999999998</v>
      </c>
      <c r="G82" s="4">
        <v>-0.29353711026120433</v>
      </c>
      <c r="H82" s="4">
        <v>1.53131789005994</v>
      </c>
      <c r="I82" s="8">
        <v>12</v>
      </c>
      <c r="J82" s="8">
        <v>8</v>
      </c>
      <c r="K82" s="8">
        <v>34</v>
      </c>
      <c r="L82" s="8">
        <v>4</v>
      </c>
      <c r="M82" s="8">
        <v>-22</v>
      </c>
      <c r="N82" s="10">
        <v>0.5</v>
      </c>
      <c r="O82" s="10">
        <v>-0.6470588235294118</v>
      </c>
      <c r="P82" s="4">
        <v>43.997914166666668</v>
      </c>
      <c r="Q82" s="4">
        <v>93.418737499999992</v>
      </c>
      <c r="R82" s="4">
        <v>6.1346208823529409</v>
      </c>
      <c r="S82" s="6">
        <v>-49.420823333333317</v>
      </c>
      <c r="T82" s="6">
        <v>37.863293284313727</v>
      </c>
      <c r="U82" s="6">
        <v>-0.52902474017413614</v>
      </c>
      <c r="V82" s="6">
        <v>6.1720673551698306</v>
      </c>
      <c r="W82" s="6">
        <v>-4.4014681226271023E-2</v>
      </c>
      <c r="X82" s="6">
        <v>2.0102685502466751E-2</v>
      </c>
      <c r="Y82" s="6">
        <v>-0.54882575561623226</v>
      </c>
      <c r="Z82" s="6">
        <v>-3.1894926039045921</v>
      </c>
      <c r="AA82" s="6">
        <v>-0.91980208513200967</v>
      </c>
    </row>
    <row r="83" spans="1:27" x14ac:dyDescent="0.2">
      <c r="A83" s="2" t="s">
        <v>37</v>
      </c>
      <c r="B83" s="4">
        <v>15595618.33994</v>
      </c>
      <c r="C83" s="4">
        <v>14296059.79892</v>
      </c>
      <c r="D83" s="4">
        <v>14967994.16241</v>
      </c>
      <c r="E83" s="4">
        <v>1299558.5410199971</v>
      </c>
      <c r="F83" s="4">
        <v>627624.1775299944</v>
      </c>
      <c r="G83" s="4">
        <v>9.0903267004952798E-2</v>
      </c>
      <c r="H83" s="4">
        <v>4.1931081126834191E-2</v>
      </c>
      <c r="I83" s="8">
        <v>37269</v>
      </c>
      <c r="J83" s="8">
        <v>33103</v>
      </c>
      <c r="K83" s="8">
        <v>31754</v>
      </c>
      <c r="L83" s="8">
        <v>4166</v>
      </c>
      <c r="M83" s="8">
        <v>5515</v>
      </c>
      <c r="N83" s="10">
        <v>0.12584962088028279</v>
      </c>
      <c r="O83" s="10">
        <v>0.17367890659444479</v>
      </c>
      <c r="P83" s="4">
        <v>418.46087472000852</v>
      </c>
      <c r="Q83" s="4">
        <v>431.86598794429511</v>
      </c>
      <c r="R83" s="4">
        <v>471.37350136707192</v>
      </c>
      <c r="S83" s="6">
        <v>-13.40511322428654</v>
      </c>
      <c r="T83" s="6">
        <v>-52.912626647063412</v>
      </c>
      <c r="U83" s="6">
        <v>-3.1039983695163371E-2</v>
      </c>
      <c r="V83" s="6">
        <v>-0.11225201776002861</v>
      </c>
      <c r="W83" s="6">
        <v>0.21940476017657939</v>
      </c>
      <c r="X83" s="6">
        <v>0.25043011328201509</v>
      </c>
      <c r="Y83" s="6">
        <v>0.2293354745882201</v>
      </c>
      <c r="Z83" s="6">
        <v>-0.1238882684627363</v>
      </c>
      <c r="AA83" s="6">
        <v>-4.3302129465455128E-2</v>
      </c>
    </row>
    <row r="85" spans="1:27" x14ac:dyDescent="0.2">
      <c r="A85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875F-B660-4634-AC2F-FFCCE381A9BC}">
  <dimension ref="A1:W14"/>
  <sheetViews>
    <sheetView tabSelected="1" workbookViewId="0">
      <selection activeCell="D45" sqref="D45"/>
    </sheetView>
  </sheetViews>
  <sheetFormatPr defaultRowHeight="10.199999999999999" x14ac:dyDescent="0.3"/>
  <cols>
    <col min="1" max="1" width="7.109375" style="11" bestFit="1" customWidth="1"/>
    <col min="2" max="2" width="10.5546875" style="11" bestFit="1" customWidth="1"/>
    <col min="3" max="3" width="7.77734375" style="11" bestFit="1" customWidth="1"/>
    <col min="4" max="6" width="9.44140625" style="11" bestFit="1" customWidth="1"/>
    <col min="7" max="7" width="9.6640625" style="11" bestFit="1" customWidth="1"/>
    <col min="8" max="8" width="9.44140625" style="11" bestFit="1" customWidth="1"/>
    <col min="9" max="9" width="9.6640625" style="11" bestFit="1" customWidth="1"/>
    <col min="10" max="10" width="13.77734375" style="11" bestFit="1" customWidth="1"/>
    <col min="11" max="11" width="5.109375" style="11" bestFit="1" customWidth="1"/>
    <col min="12" max="12" width="8.88671875" style="11"/>
    <col min="13" max="13" width="7.109375" style="11" bestFit="1" customWidth="1"/>
    <col min="14" max="14" width="10" style="11" bestFit="1" customWidth="1"/>
    <col min="15" max="15" width="7.6640625" style="11" bestFit="1" customWidth="1"/>
    <col min="16" max="18" width="9.33203125" style="11" bestFit="1" customWidth="1"/>
    <col min="19" max="19" width="9.5546875" style="11" bestFit="1" customWidth="1"/>
    <col min="20" max="20" width="9.33203125" style="11" bestFit="1" customWidth="1"/>
    <col min="21" max="21" width="9.5546875" style="11" bestFit="1" customWidth="1"/>
    <col min="22" max="22" width="13.44140625" style="11" bestFit="1" customWidth="1"/>
    <col min="23" max="23" width="6.6640625" style="11" bestFit="1" customWidth="1"/>
    <col min="24" max="16384" width="8.88671875" style="11"/>
  </cols>
  <sheetData>
    <row r="1" spans="1:23" s="14" customFormat="1" x14ac:dyDescent="0.3">
      <c r="B1" s="14" t="str" cm="1">
        <f t="array" ref="B1:J1">TRANSPOSE(classFile!A2:A10)</f>
        <v>MEDIA PLAYER</v>
      </c>
      <c r="C1" s="14" t="str">
        <v>TV 32INCH</v>
      </c>
      <c r="D1" s="14" t="str">
        <v>TV 43INCH LT</v>
      </c>
      <c r="E1" s="14" t="str">
        <v>TV 50INCH LT</v>
      </c>
      <c r="F1" s="14" t="str">
        <v>TV 55INCH LT</v>
      </c>
      <c r="G1" s="14" t="str">
        <v>TV 65INCH GT</v>
      </c>
      <c r="H1" s="14" t="str">
        <v>TV 75INCH LT</v>
      </c>
      <c r="I1" s="14" t="str">
        <v>TV 85INCH GT</v>
      </c>
      <c r="J1" s="14" t="str">
        <v>VIDEO ACCESSORIES</v>
      </c>
      <c r="K1" s="15" t="s">
        <v>49</v>
      </c>
      <c r="N1" s="14" t="str">
        <f t="shared" ref="N1:V1" si="0">B1</f>
        <v>MEDIA PLAYER</v>
      </c>
      <c r="O1" s="14" t="str">
        <f t="shared" si="0"/>
        <v>TV 32INCH</v>
      </c>
      <c r="P1" s="14" t="str">
        <f t="shared" si="0"/>
        <v>TV 43INCH LT</v>
      </c>
      <c r="Q1" s="14" t="str">
        <f t="shared" si="0"/>
        <v>TV 50INCH LT</v>
      </c>
      <c r="R1" s="14" t="str">
        <f t="shared" si="0"/>
        <v>TV 55INCH LT</v>
      </c>
      <c r="S1" s="14" t="str">
        <f t="shared" si="0"/>
        <v>TV 65INCH GT</v>
      </c>
      <c r="T1" s="14" t="str">
        <f t="shared" si="0"/>
        <v>TV 75INCH LT</v>
      </c>
      <c r="U1" s="14" t="str">
        <f t="shared" si="0"/>
        <v>TV 85INCH GT</v>
      </c>
      <c r="V1" s="14" t="str">
        <f t="shared" si="0"/>
        <v>VIDEO ACCESSORIES</v>
      </c>
    </row>
    <row r="2" spans="1:23" x14ac:dyDescent="0.3">
      <c r="A2" s="15" t="s">
        <v>46</v>
      </c>
      <c r="B2" s="16">
        <f t="shared" ref="B2:K2" si="1">AVERAGE(B9:B14)</f>
        <v>751.33333333333337</v>
      </c>
      <c r="C2" s="16">
        <f t="shared" si="1"/>
        <v>7984.166666666667</v>
      </c>
      <c r="D2" s="16">
        <f t="shared" si="1"/>
        <v>6865.666666666667</v>
      </c>
      <c r="E2" s="16">
        <f t="shared" si="1"/>
        <v>5920.5</v>
      </c>
      <c r="F2" s="16">
        <f t="shared" si="1"/>
        <v>4637.833333333333</v>
      </c>
      <c r="G2" s="16">
        <f t="shared" si="1"/>
        <v>1956.6666666666667</v>
      </c>
      <c r="H2" s="16">
        <f t="shared" si="1"/>
        <v>428.16666666666669</v>
      </c>
      <c r="I2" s="16">
        <f t="shared" si="1"/>
        <v>104.5</v>
      </c>
      <c r="J2" s="16">
        <f t="shared" si="1"/>
        <v>88.5</v>
      </c>
      <c r="K2" s="16">
        <f t="shared" si="1"/>
        <v>28737.333333333332</v>
      </c>
      <c r="M2" s="14" t="s">
        <v>46</v>
      </c>
      <c r="N2" s="13">
        <f t="shared" ref="N2:V2" si="2">+AVERAGE(N9:N14)</f>
        <v>3.7099663134041463E-2</v>
      </c>
      <c r="O2" s="13">
        <f t="shared" si="2"/>
        <v>0.29141350998888688</v>
      </c>
      <c r="P2" s="13">
        <f t="shared" si="2"/>
        <v>0.2404418612771291</v>
      </c>
      <c r="Q2" s="13">
        <f t="shared" si="2"/>
        <v>0.20684805657981134</v>
      </c>
      <c r="R2" s="13">
        <f t="shared" si="2"/>
        <v>0.14255877903317868</v>
      </c>
      <c r="S2" s="13">
        <f t="shared" si="2"/>
        <v>6.114021464304073E-2</v>
      </c>
      <c r="T2" s="13">
        <f t="shared" si="2"/>
        <v>1.3594265202388914E-2</v>
      </c>
      <c r="U2" s="13">
        <f t="shared" si="2"/>
        <v>3.026143315895883E-3</v>
      </c>
      <c r="V2" s="13">
        <f t="shared" si="2"/>
        <v>3.8775068256269745E-3</v>
      </c>
      <c r="W2" s="13">
        <f>SUM(N2:V2)</f>
        <v>1</v>
      </c>
    </row>
    <row r="3" spans="1:23" x14ac:dyDescent="0.3">
      <c r="B3" s="12">
        <f>B2/$K$2</f>
        <v>2.6144852224748296E-2</v>
      </c>
      <c r="C3" s="12">
        <f t="shared" ref="C3:J3" si="3">C2/$K$2</f>
        <v>0.2778325523129031</v>
      </c>
      <c r="D3" s="12">
        <f t="shared" si="3"/>
        <v>0.23891105646545727</v>
      </c>
      <c r="E3" s="12">
        <f t="shared" si="3"/>
        <v>0.20602120354475015</v>
      </c>
      <c r="F3" s="12">
        <f t="shared" si="3"/>
        <v>0.16138704588688349</v>
      </c>
      <c r="G3" s="12">
        <f t="shared" si="3"/>
        <v>6.8087969192223832E-2</v>
      </c>
      <c r="H3" s="12">
        <f t="shared" si="3"/>
        <v>1.4899317960376747E-2</v>
      </c>
      <c r="I3" s="12">
        <f t="shared" si="3"/>
        <v>3.6363847260242194E-3</v>
      </c>
      <c r="J3" s="12">
        <f t="shared" si="3"/>
        <v>3.0796176866329517E-3</v>
      </c>
      <c r="K3" s="17">
        <f>SUM(B3:J3)</f>
        <v>1</v>
      </c>
    </row>
    <row r="4" spans="1:23" x14ac:dyDescent="0.3">
      <c r="M4" s="14" t="s">
        <v>47</v>
      </c>
      <c r="N4" s="13">
        <f t="shared" ref="N4:V4" si="4">MAX(N9:N14)</f>
        <v>0.11549592212575638</v>
      </c>
      <c r="O4" s="13">
        <f t="shared" si="4"/>
        <v>0.37266508813470139</v>
      </c>
      <c r="P4" s="13">
        <f t="shared" si="4"/>
        <v>0.28914290054304487</v>
      </c>
      <c r="Q4" s="13">
        <f t="shared" si="4"/>
        <v>0.25772635267816685</v>
      </c>
      <c r="R4" s="13">
        <f t="shared" si="4"/>
        <v>0.27384689688481045</v>
      </c>
      <c r="S4" s="13">
        <f t="shared" si="4"/>
        <v>0.10434945933617752</v>
      </c>
      <c r="T4" s="13">
        <f t="shared" si="4"/>
        <v>2.5195613425576267E-2</v>
      </c>
      <c r="U4" s="13">
        <f t="shared" si="4"/>
        <v>9.9278220504977321E-3</v>
      </c>
      <c r="V4" s="13">
        <f t="shared" si="4"/>
        <v>1.0260457774269928E-2</v>
      </c>
      <c r="W4" s="13"/>
    </row>
    <row r="5" spans="1:23" x14ac:dyDescent="0.3">
      <c r="M5" s="14" t="s">
        <v>50</v>
      </c>
      <c r="N5" s="13">
        <f t="shared" ref="N5:V5" si="5">MIN(N9:N14)</f>
        <v>8.0495854463495125E-5</v>
      </c>
      <c r="O5" s="13">
        <f t="shared" si="5"/>
        <v>0.23107676621320669</v>
      </c>
      <c r="P5" s="13">
        <f t="shared" si="5"/>
        <v>0.19491858252016556</v>
      </c>
      <c r="Q5" s="13">
        <f t="shared" si="5"/>
        <v>0.14728058171670827</v>
      </c>
      <c r="R5" s="13">
        <f t="shared" si="5"/>
        <v>3.3280715601157591E-2</v>
      </c>
      <c r="S5" s="13">
        <f t="shared" si="5"/>
        <v>1.841620626151013E-2</v>
      </c>
      <c r="T5" s="13">
        <f t="shared" si="5"/>
        <v>2.7223979100783721E-3</v>
      </c>
      <c r="U5" s="13">
        <f t="shared" si="5"/>
        <v>1.5190065697034139E-4</v>
      </c>
      <c r="V5" s="13">
        <f t="shared" si="5"/>
        <v>2.4168454125253014E-4</v>
      </c>
    </row>
    <row r="6" spans="1:23" x14ac:dyDescent="0.3">
      <c r="N6" s="13">
        <f t="shared" ref="N6:V6" si="6">AVERAGE(N4:N5)</f>
        <v>5.7788208990109939E-2</v>
      </c>
      <c r="O6" s="13">
        <f t="shared" si="6"/>
        <v>0.30187092717395403</v>
      </c>
      <c r="P6" s="13">
        <f t="shared" si="6"/>
        <v>0.2420307415316052</v>
      </c>
      <c r="Q6" s="13">
        <f t="shared" si="6"/>
        <v>0.20250346719743756</v>
      </c>
      <c r="R6" s="13">
        <f t="shared" si="6"/>
        <v>0.15356380624298402</v>
      </c>
      <c r="S6" s="13">
        <f t="shared" si="6"/>
        <v>6.1382832798843823E-2</v>
      </c>
      <c r="T6" s="13">
        <f t="shared" si="6"/>
        <v>1.395900566782732E-2</v>
      </c>
      <c r="U6" s="13">
        <f t="shared" si="6"/>
        <v>5.0398613537340365E-3</v>
      </c>
      <c r="V6" s="13">
        <f t="shared" si="6"/>
        <v>5.2510711577612289E-3</v>
      </c>
      <c r="W6" s="13"/>
    </row>
    <row r="8" spans="1:23" x14ac:dyDescent="0.3">
      <c r="A8" s="15" t="s">
        <v>48</v>
      </c>
      <c r="M8" s="15" t="s">
        <v>48</v>
      </c>
    </row>
    <row r="9" spans="1:23" x14ac:dyDescent="0.3">
      <c r="A9" s="11">
        <v>2020</v>
      </c>
      <c r="B9" s="11" cm="1">
        <f t="array" ref="B9:J9">TRANSPOSE(classFile!I2:I10)</f>
        <v>878</v>
      </c>
      <c r="C9" s="11">
        <v>2833</v>
      </c>
      <c r="D9" s="11">
        <v>1767</v>
      </c>
      <c r="E9" s="11">
        <v>1597</v>
      </c>
      <c r="F9" s="11">
        <v>253</v>
      </c>
      <c r="G9" s="11">
        <v>140</v>
      </c>
      <c r="H9" s="11">
        <v>52</v>
      </c>
      <c r="I9" s="11">
        <v>4</v>
      </c>
      <c r="J9" s="11">
        <v>78</v>
      </c>
      <c r="K9" s="11">
        <f t="shared" ref="K9:K13" si="7">SUM(B9:J9)</f>
        <v>7602</v>
      </c>
      <c r="M9" s="11">
        <f t="shared" ref="M9:M14" si="8">A9</f>
        <v>2020</v>
      </c>
      <c r="N9" s="12">
        <f t="shared" ref="N9:V14" si="9">B9/$K9</f>
        <v>0.11549592212575638</v>
      </c>
      <c r="O9" s="12">
        <f t="shared" si="9"/>
        <v>0.37266508813470139</v>
      </c>
      <c r="P9" s="12">
        <f t="shared" si="9"/>
        <v>0.2324388318863457</v>
      </c>
      <c r="Q9" s="12">
        <f t="shared" si="9"/>
        <v>0.21007629571165481</v>
      </c>
      <c r="R9" s="12">
        <f t="shared" si="9"/>
        <v>3.3280715601157591E-2</v>
      </c>
      <c r="S9" s="12">
        <f t="shared" si="9"/>
        <v>1.841620626151013E-2</v>
      </c>
      <c r="T9" s="12">
        <f t="shared" si="9"/>
        <v>6.8403051828466194E-3</v>
      </c>
      <c r="U9" s="12">
        <f t="shared" si="9"/>
        <v>5.2617732175743229E-4</v>
      </c>
      <c r="V9" s="12">
        <f t="shared" si="9"/>
        <v>1.0260457774269928E-2</v>
      </c>
      <c r="W9" s="12">
        <f>SUM(N9:V9)</f>
        <v>1</v>
      </c>
    </row>
    <row r="10" spans="1:23" x14ac:dyDescent="0.3">
      <c r="A10" s="11">
        <v>2021</v>
      </c>
      <c r="B10" s="11" cm="1">
        <f t="array" ref="B10:J10">TRANSPOSE(classFile!I16:I24)</f>
        <v>2613</v>
      </c>
      <c r="C10" s="11">
        <v>11598</v>
      </c>
      <c r="D10" s="11">
        <v>9070</v>
      </c>
      <c r="E10" s="11">
        <v>8110</v>
      </c>
      <c r="F10" s="11">
        <v>3004</v>
      </c>
      <c r="G10" s="11">
        <v>1495</v>
      </c>
      <c r="H10" s="11">
        <v>99</v>
      </c>
      <c r="I10" s="11">
        <v>15</v>
      </c>
      <c r="J10" s="11">
        <v>361</v>
      </c>
      <c r="K10" s="11">
        <f t="shared" si="7"/>
        <v>36365</v>
      </c>
      <c r="M10" s="11">
        <f t="shared" si="8"/>
        <v>2021</v>
      </c>
      <c r="N10" s="12">
        <f t="shared" si="9"/>
        <v>7.1854805444795819E-2</v>
      </c>
      <c r="O10" s="12">
        <f t="shared" si="9"/>
        <v>0.31893304001099959</v>
      </c>
      <c r="P10" s="12">
        <f t="shared" si="9"/>
        <v>0.24941564691324075</v>
      </c>
      <c r="Q10" s="12">
        <f t="shared" si="9"/>
        <v>0.22301663687611714</v>
      </c>
      <c r="R10" s="12">
        <f t="shared" si="9"/>
        <v>8.2606902241165958E-2</v>
      </c>
      <c r="S10" s="12">
        <f t="shared" si="9"/>
        <v>4.1110958339062288E-2</v>
      </c>
      <c r="T10" s="12">
        <f t="shared" si="9"/>
        <v>2.7223979100783721E-3</v>
      </c>
      <c r="U10" s="12">
        <f t="shared" si="9"/>
        <v>4.1248453183005636E-4</v>
      </c>
      <c r="V10" s="12">
        <f t="shared" si="9"/>
        <v>9.9271277327100237E-3</v>
      </c>
      <c r="W10" s="12">
        <f t="shared" ref="W10:W14" si="10">SUM(N10:V10)</f>
        <v>1</v>
      </c>
    </row>
    <row r="11" spans="1:23" x14ac:dyDescent="0.3">
      <c r="A11" s="11">
        <v>2022</v>
      </c>
      <c r="B11" s="11" cm="1">
        <f t="array" ref="B11:J11">TRANSPOSE(classFile!I30:I38)</f>
        <v>516</v>
      </c>
      <c r="C11" s="11">
        <v>8162</v>
      </c>
      <c r="D11" s="11">
        <v>7614</v>
      </c>
      <c r="E11" s="11">
        <v>4860</v>
      </c>
      <c r="F11" s="11">
        <v>3355</v>
      </c>
      <c r="G11" s="11">
        <v>1613</v>
      </c>
      <c r="H11" s="11">
        <v>171</v>
      </c>
      <c r="I11" s="11">
        <v>4</v>
      </c>
      <c r="J11" s="11">
        <v>38</v>
      </c>
      <c r="K11" s="11">
        <f t="shared" si="7"/>
        <v>26333</v>
      </c>
      <c r="M11" s="11">
        <f t="shared" si="8"/>
        <v>2022</v>
      </c>
      <c r="N11" s="12">
        <f t="shared" si="9"/>
        <v>1.959518474917404E-2</v>
      </c>
      <c r="O11" s="12">
        <f t="shared" si="9"/>
        <v>0.3099532905479816</v>
      </c>
      <c r="P11" s="12">
        <f t="shared" si="9"/>
        <v>0.28914290054304487</v>
      </c>
      <c r="Q11" s="12">
        <f t="shared" si="9"/>
        <v>0.1845592982189648</v>
      </c>
      <c r="R11" s="12">
        <f t="shared" si="9"/>
        <v>0.12740667603387384</v>
      </c>
      <c r="S11" s="12">
        <f t="shared" si="9"/>
        <v>6.1253939923290167E-2</v>
      </c>
      <c r="T11" s="12">
        <f t="shared" si="9"/>
        <v>6.493753085482095E-3</v>
      </c>
      <c r="U11" s="12">
        <f t="shared" si="9"/>
        <v>1.5190065697034139E-4</v>
      </c>
      <c r="V11" s="12">
        <f t="shared" si="9"/>
        <v>1.4430562412182434E-3</v>
      </c>
      <c r="W11" s="12">
        <f t="shared" si="10"/>
        <v>0.99999999999999989</v>
      </c>
    </row>
    <row r="12" spans="1:23" x14ac:dyDescent="0.3">
      <c r="A12" s="11">
        <v>2023</v>
      </c>
      <c r="B12" s="11" cm="1">
        <f t="array" ref="B12:J12">TRANSPOSE(classFile!I44:I52)</f>
        <v>411</v>
      </c>
      <c r="C12" s="11">
        <v>8846</v>
      </c>
      <c r="D12" s="11">
        <v>8501</v>
      </c>
      <c r="E12" s="11">
        <v>6936</v>
      </c>
      <c r="F12" s="11">
        <v>4388</v>
      </c>
      <c r="G12" s="11">
        <v>2069</v>
      </c>
      <c r="H12" s="11">
        <v>515</v>
      </c>
      <c r="I12" s="11">
        <v>54</v>
      </c>
      <c r="J12" s="11">
        <v>34</v>
      </c>
      <c r="K12" s="11">
        <f t="shared" si="7"/>
        <v>31754</v>
      </c>
      <c r="M12" s="11">
        <f t="shared" si="8"/>
        <v>2023</v>
      </c>
      <c r="N12" s="12">
        <f t="shared" si="9"/>
        <v>1.2943251243937772E-2</v>
      </c>
      <c r="O12" s="12">
        <f t="shared" si="9"/>
        <v>0.2785790766517604</v>
      </c>
      <c r="P12" s="12">
        <f t="shared" si="9"/>
        <v>0.26771430370976884</v>
      </c>
      <c r="Q12" s="12">
        <f t="shared" si="9"/>
        <v>0.21842917427725642</v>
      </c>
      <c r="R12" s="12">
        <f t="shared" si="9"/>
        <v>0.13818731498393902</v>
      </c>
      <c r="S12" s="12">
        <f t="shared" si="9"/>
        <v>6.5157145556465332E-2</v>
      </c>
      <c r="T12" s="12">
        <f t="shared" si="9"/>
        <v>1.6218429174277255E-2</v>
      </c>
      <c r="U12" s="12">
        <f t="shared" si="9"/>
        <v>1.7005731561378094E-3</v>
      </c>
      <c r="V12" s="12">
        <f t="shared" si="9"/>
        <v>1.0707312464571393E-3</v>
      </c>
      <c r="W12" s="12">
        <f t="shared" si="10"/>
        <v>1</v>
      </c>
    </row>
    <row r="13" spans="1:23" x14ac:dyDescent="0.3">
      <c r="A13" s="11">
        <v>2024</v>
      </c>
      <c r="B13" s="11" cm="1">
        <f t="array" ref="B13">TRANSPOSE(classFile!I58)</f>
        <v>87</v>
      </c>
      <c r="C13" s="11" cm="1">
        <f t="array" ref="C13:J13">TRANSPOSE(classFile!I60:I67)</f>
        <v>7854</v>
      </c>
      <c r="D13" s="11">
        <v>6452</v>
      </c>
      <c r="E13" s="11">
        <v>8531</v>
      </c>
      <c r="F13" s="11">
        <v>6621</v>
      </c>
      <c r="G13" s="11">
        <v>2534</v>
      </c>
      <c r="H13" s="11">
        <v>834</v>
      </c>
      <c r="I13" s="11">
        <v>180</v>
      </c>
      <c r="J13" s="11">
        <v>8</v>
      </c>
      <c r="K13" s="11">
        <f t="shared" si="7"/>
        <v>33101</v>
      </c>
      <c r="M13" s="11">
        <f t="shared" si="8"/>
        <v>2024</v>
      </c>
      <c r="N13" s="12">
        <f t="shared" si="9"/>
        <v>2.6283193861212652E-3</v>
      </c>
      <c r="O13" s="12">
        <f t="shared" si="9"/>
        <v>0.23727379837467147</v>
      </c>
      <c r="P13" s="12">
        <f t="shared" si="9"/>
        <v>0.19491858252016556</v>
      </c>
      <c r="Q13" s="12">
        <f t="shared" si="9"/>
        <v>0.25772635267816685</v>
      </c>
      <c r="R13" s="12">
        <f t="shared" si="9"/>
        <v>0.20002416845412524</v>
      </c>
      <c r="S13" s="12">
        <f t="shared" si="9"/>
        <v>7.655357844173892E-2</v>
      </c>
      <c r="T13" s="12">
        <f t="shared" si="9"/>
        <v>2.5195613425576267E-2</v>
      </c>
      <c r="U13" s="12">
        <f t="shared" si="9"/>
        <v>5.4379021781819281E-3</v>
      </c>
      <c r="V13" s="12">
        <f t="shared" si="9"/>
        <v>2.4168454125253014E-4</v>
      </c>
      <c r="W13" s="12">
        <f t="shared" si="10"/>
        <v>1.0000000000000002</v>
      </c>
    </row>
    <row r="14" spans="1:23" x14ac:dyDescent="0.3">
      <c r="A14" s="11">
        <v>2025</v>
      </c>
      <c r="B14" s="11" cm="1">
        <f t="array" ref="B14">TRANSPOSE(classFile!I73)</f>
        <v>3</v>
      </c>
      <c r="C14" s="11" cm="1">
        <f t="array" ref="C14:J14">TRANSPOSE(classFile!I75:I82)</f>
        <v>8612</v>
      </c>
      <c r="D14" s="11">
        <v>7790</v>
      </c>
      <c r="E14" s="11">
        <v>5489</v>
      </c>
      <c r="F14" s="11">
        <v>10206</v>
      </c>
      <c r="G14" s="11">
        <v>3889</v>
      </c>
      <c r="H14" s="11">
        <v>898</v>
      </c>
      <c r="I14" s="11">
        <v>370</v>
      </c>
      <c r="J14" s="11">
        <v>12</v>
      </c>
      <c r="K14" s="11">
        <f>SUM(B14:J14)</f>
        <v>37269</v>
      </c>
      <c r="M14" s="11">
        <f t="shared" si="8"/>
        <v>2025</v>
      </c>
      <c r="N14" s="12">
        <f t="shared" si="9"/>
        <v>8.0495854463495125E-5</v>
      </c>
      <c r="O14" s="12">
        <f t="shared" si="9"/>
        <v>0.23107676621320669</v>
      </c>
      <c r="P14" s="12">
        <f t="shared" si="9"/>
        <v>0.20902090209020902</v>
      </c>
      <c r="Q14" s="12">
        <f t="shared" si="9"/>
        <v>0.14728058171670827</v>
      </c>
      <c r="R14" s="12">
        <f t="shared" si="9"/>
        <v>0.27384689688481045</v>
      </c>
      <c r="S14" s="12">
        <f t="shared" si="9"/>
        <v>0.10434945933617752</v>
      </c>
      <c r="T14" s="12">
        <f t="shared" si="9"/>
        <v>2.4095092436072874E-2</v>
      </c>
      <c r="U14" s="12">
        <f t="shared" si="9"/>
        <v>9.9278220504977321E-3</v>
      </c>
      <c r="V14" s="12">
        <f t="shared" si="9"/>
        <v>3.219834178539805E-4</v>
      </c>
      <c r="W14" s="12">
        <f t="shared" si="1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528F-15D5-47BE-BD19-A1EE9BF773A4}">
  <dimension ref="A1"/>
  <sheetViews>
    <sheetView workbookViewId="0">
      <selection activeCell="U1" sqref="U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classFile</vt:lpstr>
      <vt:lpstr>ClassTrend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Vyan Persad (Unicomer Trinidad)</cp:lastModifiedBy>
  <dcterms:created xsi:type="dcterms:W3CDTF">2026-02-07T06:37:15Z</dcterms:created>
  <dcterms:modified xsi:type="dcterms:W3CDTF">2026-02-16T03:21:20Z</dcterms:modified>
</cp:coreProperties>
</file>